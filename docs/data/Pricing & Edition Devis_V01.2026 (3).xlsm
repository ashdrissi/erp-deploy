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HA ELOUARYACHI\Desktop\"/>
    </mc:Choice>
  </mc:AlternateContent>
  <xr:revisionPtr revIDLastSave="0" documentId="13_ncr:1_{51AE619A-580A-4B97-892B-6DB78E6CE1D9}" xr6:coauthVersionLast="47" xr6:coauthVersionMax="47" xr10:uidLastSave="{00000000-0000-0000-0000-000000000000}"/>
  <bookViews>
    <workbookView xWindow="-120" yWindow="-120" windowWidth="20730" windowHeight="11160" tabRatio="780" xr2:uid="{289E35B4-E4AB-4206-86BF-577F19E990DF}"/>
  </bookViews>
  <sheets>
    <sheet name="Pricelist" sheetId="1" r:id="rId1"/>
    <sheet name="Devis _ B2B avec détails " sheetId="2" r:id="rId2"/>
    <sheet name="Devis _ B2B sans détails " sheetId="3" r:id="rId3"/>
    <sheet name="Devis _ B2C Promo-particulier" sheetId="4" r:id="rId4"/>
  </sheets>
  <definedNames>
    <definedName name="_xlnm._FilterDatabase" localSheetId="0" hidden="1">Pricelist!$A$10:$AC$216</definedName>
    <definedName name="_xleta.DAY" hidden="1" xlm="1">#NAME?</definedName>
    <definedName name="_xleta.IF" hidden="1" xlm="1">#NAME?</definedName>
    <definedName name="_xleta.SEARCH" hidden="1" xlm="1">#NAME?</definedName>
    <definedName name="_xlnm.Print_Area" localSheetId="1">'Devis _ B2B avec détails '!$A$1:$F$70</definedName>
    <definedName name="_xlnm.Print_Area" localSheetId="2">'Devis _ B2B sans détails '!$A$1:$D$71</definedName>
    <definedName name="_xlnm.Print_Area" localSheetId="3">'Devis _ B2C Promo-particulier'!$A$1:$D$72</definedName>
    <definedName name="_xlnm.Print_Area" localSheetId="0">Pricelist!$A$1:$AC$227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65" i="1" l="1"/>
  <c r="G166" i="1"/>
  <c r="G155" i="1"/>
  <c r="X4" i="1"/>
  <c r="X3" i="1"/>
  <c r="X72" i="1"/>
  <c r="G42" i="1"/>
  <c r="E63" i="4"/>
  <c r="C63" i="4" s="1"/>
  <c r="J26" i="4" l="1"/>
  <c r="J28" i="4" s="1"/>
  <c r="H12" i="4"/>
  <c r="G38" i="4"/>
  <c r="G37" i="4"/>
  <c r="G41" i="1"/>
  <c r="R44" i="1"/>
  <c r="R41" i="1"/>
  <c r="R42" i="1"/>
  <c r="R40" i="1"/>
  <c r="G40" i="1"/>
  <c r="C62" i="3"/>
  <c r="G37" i="1"/>
  <c r="X69" i="1"/>
  <c r="X60" i="1"/>
  <c r="X59" i="1"/>
  <c r="AC83" i="1"/>
  <c r="AB124" i="1"/>
  <c r="R43" i="1"/>
  <c r="AC175" i="1"/>
  <c r="G43" i="1"/>
  <c r="AC111" i="1"/>
  <c r="AC105" i="1"/>
  <c r="AC110" i="1"/>
  <c r="Z97" i="1"/>
  <c r="Z95" i="1"/>
  <c r="Z94" i="1"/>
  <c r="Z96" i="1" s="1"/>
  <c r="Z93" i="1"/>
  <c r="Z92" i="1"/>
  <c r="Z91" i="1"/>
  <c r="Z90" i="1"/>
  <c r="AC89" i="1"/>
  <c r="AC88" i="1"/>
  <c r="Y81" i="1"/>
  <c r="Y77" i="1"/>
  <c r="Y76" i="1"/>
  <c r="Y74" i="1"/>
  <c r="H63" i="1"/>
  <c r="F63" i="1"/>
  <c r="G63" i="1"/>
  <c r="X63" i="1"/>
  <c r="X61" i="1"/>
  <c r="X58" i="1"/>
  <c r="X57" i="1"/>
  <c r="X68" i="1" s="1"/>
  <c r="X64" i="1" l="1"/>
  <c r="X70" i="1"/>
  <c r="X66" i="1" s="1"/>
  <c r="X65" i="1"/>
  <c r="G36" i="1"/>
  <c r="G35" i="1"/>
  <c r="H218" i="1" l="1"/>
  <c r="F220" i="1"/>
  <c r="F219" i="1"/>
  <c r="F218" i="1"/>
  <c r="H219" i="1"/>
  <c r="H220" i="1"/>
  <c r="G220" i="1"/>
  <c r="AC220" i="1"/>
  <c r="AC219" i="1"/>
  <c r="AC52" i="1"/>
  <c r="AC50" i="1"/>
  <c r="G219" i="1"/>
  <c r="S219" i="1"/>
  <c r="T219" i="1"/>
  <c r="U219" i="1"/>
  <c r="V219" i="1"/>
  <c r="AC51" i="1"/>
  <c r="F49" i="1"/>
  <c r="G49" i="1"/>
  <c r="H49" i="1" s="1"/>
  <c r="U48" i="1"/>
  <c r="R219" i="1" l="1"/>
  <c r="G138" i="1" l="1"/>
  <c r="F98" i="1"/>
  <c r="F99" i="1"/>
  <c r="H99" i="1"/>
  <c r="F139" i="1"/>
  <c r="H139" i="1"/>
  <c r="G139" i="1"/>
  <c r="H138" i="1"/>
  <c r="F138" i="1"/>
  <c r="AA98" i="1"/>
  <c r="AA100" i="1"/>
  <c r="AA217" i="1"/>
  <c r="AA218" i="1"/>
  <c r="F217" i="1"/>
  <c r="H217" i="1"/>
  <c r="G218" i="1"/>
  <c r="G217" i="1"/>
  <c r="G163" i="1"/>
  <c r="H163" i="1" s="1"/>
  <c r="G162" i="1"/>
  <c r="H162" i="1" s="1"/>
  <c r="G161" i="1"/>
  <c r="H161" i="1" s="1"/>
  <c r="S201" i="1" l="1"/>
  <c r="T201" i="1"/>
  <c r="U201" i="1"/>
  <c r="V201" i="1"/>
  <c r="S202" i="1"/>
  <c r="T202" i="1"/>
  <c r="U202" i="1"/>
  <c r="V202" i="1"/>
  <c r="S203" i="1"/>
  <c r="T203" i="1"/>
  <c r="U203" i="1"/>
  <c r="V203" i="1"/>
  <c r="S204" i="1"/>
  <c r="T204" i="1"/>
  <c r="U204" i="1"/>
  <c r="V204" i="1"/>
  <c r="S205" i="1"/>
  <c r="T205" i="1"/>
  <c r="U205" i="1"/>
  <c r="V205" i="1"/>
  <c r="S206" i="1"/>
  <c r="T206" i="1"/>
  <c r="U206" i="1"/>
  <c r="V206" i="1"/>
  <c r="S207" i="1"/>
  <c r="T207" i="1"/>
  <c r="U207" i="1"/>
  <c r="V207" i="1"/>
  <c r="S208" i="1"/>
  <c r="T208" i="1"/>
  <c r="U208" i="1"/>
  <c r="V208" i="1"/>
  <c r="S209" i="1"/>
  <c r="T209" i="1"/>
  <c r="U209" i="1"/>
  <c r="V209" i="1"/>
  <c r="S210" i="1"/>
  <c r="T210" i="1"/>
  <c r="U210" i="1"/>
  <c r="V210" i="1"/>
  <c r="S211" i="1"/>
  <c r="T211" i="1"/>
  <c r="U211" i="1"/>
  <c r="V211" i="1"/>
  <c r="S212" i="1"/>
  <c r="T212" i="1"/>
  <c r="U212" i="1"/>
  <c r="V212" i="1"/>
  <c r="S213" i="1"/>
  <c r="T213" i="1"/>
  <c r="U213" i="1"/>
  <c r="V213" i="1"/>
  <c r="S214" i="1"/>
  <c r="T214" i="1"/>
  <c r="U214" i="1"/>
  <c r="V214" i="1"/>
  <c r="S215" i="1"/>
  <c r="T215" i="1"/>
  <c r="U215" i="1"/>
  <c r="V215" i="1"/>
  <c r="S216" i="1"/>
  <c r="T216" i="1"/>
  <c r="U216" i="1"/>
  <c r="V216" i="1"/>
  <c r="S217" i="1"/>
  <c r="T217" i="1"/>
  <c r="U217" i="1"/>
  <c r="V217" i="1"/>
  <c r="S218" i="1"/>
  <c r="T218" i="1"/>
  <c r="U218" i="1"/>
  <c r="V218" i="1"/>
  <c r="S220" i="1"/>
  <c r="T220" i="1"/>
  <c r="U220" i="1"/>
  <c r="V220" i="1"/>
  <c r="S225" i="1"/>
  <c r="T225" i="1"/>
  <c r="U225" i="1"/>
  <c r="V225" i="1"/>
  <c r="S226" i="1"/>
  <c r="T226" i="1"/>
  <c r="U226" i="1"/>
  <c r="V226" i="1"/>
  <c r="R218" i="1" l="1"/>
  <c r="R216" i="1"/>
  <c r="R212" i="1"/>
  <c r="R214" i="1"/>
  <c r="R217" i="1"/>
  <c r="R211" i="1"/>
  <c r="R220" i="1"/>
  <c r="R213" i="1"/>
  <c r="R225" i="1"/>
  <c r="R226" i="1"/>
  <c r="R215" i="1"/>
  <c r="R209" i="1"/>
  <c r="R207" i="1"/>
  <c r="R205" i="1"/>
  <c r="R203" i="1"/>
  <c r="R210" i="1"/>
  <c r="R208" i="1"/>
  <c r="R206" i="1"/>
  <c r="R204" i="1"/>
  <c r="R202" i="1"/>
  <c r="I47" i="3" l="1"/>
  <c r="H47" i="3"/>
  <c r="H51" i="3" s="1"/>
  <c r="H52" i="3" s="1"/>
  <c r="H45" i="3"/>
  <c r="H48" i="3"/>
  <c r="I51" i="3" l="1"/>
  <c r="I52" i="3" s="1"/>
  <c r="D6" i="3" l="1"/>
  <c r="G13" i="3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F61" i="2" l="1"/>
  <c r="X62" i="1" l="1"/>
  <c r="S174" i="1"/>
  <c r="T174" i="1"/>
  <c r="U174" i="1"/>
  <c r="S175" i="1"/>
  <c r="T175" i="1"/>
  <c r="U175" i="1"/>
  <c r="S176" i="1"/>
  <c r="T176" i="1"/>
  <c r="U176" i="1"/>
  <c r="S177" i="1"/>
  <c r="T177" i="1"/>
  <c r="U177" i="1"/>
  <c r="S178" i="1"/>
  <c r="T178" i="1"/>
  <c r="U178" i="1"/>
  <c r="S179" i="1"/>
  <c r="T179" i="1"/>
  <c r="U179" i="1"/>
  <c r="S180" i="1"/>
  <c r="T180" i="1"/>
  <c r="U180" i="1"/>
  <c r="S181" i="1"/>
  <c r="T181" i="1"/>
  <c r="U181" i="1"/>
  <c r="S182" i="1"/>
  <c r="T182" i="1"/>
  <c r="U182" i="1"/>
  <c r="S183" i="1"/>
  <c r="T183" i="1"/>
  <c r="U183" i="1"/>
  <c r="S184" i="1"/>
  <c r="T184" i="1"/>
  <c r="U184" i="1"/>
  <c r="S185" i="1"/>
  <c r="T185" i="1"/>
  <c r="U185" i="1"/>
  <c r="S186" i="1"/>
  <c r="T186" i="1"/>
  <c r="U186" i="1"/>
  <c r="S187" i="1"/>
  <c r="T187" i="1"/>
  <c r="U187" i="1"/>
  <c r="S188" i="1"/>
  <c r="T188" i="1"/>
  <c r="U188" i="1"/>
  <c r="S189" i="1"/>
  <c r="T189" i="1"/>
  <c r="U189" i="1"/>
  <c r="S190" i="1"/>
  <c r="T190" i="1"/>
  <c r="U190" i="1"/>
  <c r="S191" i="1"/>
  <c r="T191" i="1"/>
  <c r="U191" i="1"/>
  <c r="S192" i="1"/>
  <c r="T192" i="1"/>
  <c r="U192" i="1"/>
  <c r="S193" i="1"/>
  <c r="T193" i="1"/>
  <c r="U193" i="1"/>
  <c r="S194" i="1"/>
  <c r="T194" i="1"/>
  <c r="U194" i="1"/>
  <c r="S195" i="1"/>
  <c r="T195" i="1"/>
  <c r="U195" i="1"/>
  <c r="S196" i="1"/>
  <c r="T196" i="1"/>
  <c r="U196" i="1"/>
  <c r="S197" i="1"/>
  <c r="T197" i="1"/>
  <c r="U197" i="1"/>
  <c r="S198" i="1"/>
  <c r="T198" i="1"/>
  <c r="U198" i="1"/>
  <c r="S199" i="1"/>
  <c r="T199" i="1"/>
  <c r="U199" i="1"/>
  <c r="S200" i="1"/>
  <c r="T200" i="1"/>
  <c r="U200" i="1"/>
  <c r="S172" i="1"/>
  <c r="T172" i="1"/>
  <c r="U172" i="1"/>
  <c r="S173" i="1"/>
  <c r="T173" i="1"/>
  <c r="U173" i="1"/>
  <c r="S162" i="1"/>
  <c r="U162" i="1"/>
  <c r="S163" i="1"/>
  <c r="U163" i="1"/>
  <c r="S164" i="1"/>
  <c r="U164" i="1"/>
  <c r="S165" i="1"/>
  <c r="U165" i="1"/>
  <c r="S166" i="1"/>
  <c r="U166" i="1"/>
  <c r="S167" i="1"/>
  <c r="U167" i="1"/>
  <c r="S168" i="1"/>
  <c r="U168" i="1"/>
  <c r="S169" i="1"/>
  <c r="T169" i="1"/>
  <c r="U169" i="1"/>
  <c r="S170" i="1"/>
  <c r="T170" i="1"/>
  <c r="U170" i="1"/>
  <c r="S171" i="1"/>
  <c r="T171" i="1"/>
  <c r="U171" i="1"/>
  <c r="R196" i="1" l="1"/>
  <c r="R188" i="1"/>
  <c r="R195" i="1"/>
  <c r="R194" i="1"/>
  <c r="R186" i="1"/>
  <c r="R175" i="1"/>
  <c r="R180" i="1"/>
  <c r="R185" i="1"/>
  <c r="R192" i="1"/>
  <c r="R184" i="1"/>
  <c r="R200" i="1"/>
  <c r="R187" i="1"/>
  <c r="R178" i="1"/>
  <c r="R199" i="1"/>
  <c r="R191" i="1"/>
  <c r="R183" i="1"/>
  <c r="R193" i="1"/>
  <c r="R177" i="1"/>
  <c r="R197" i="1"/>
  <c r="R189" i="1"/>
  <c r="R181" i="1"/>
  <c r="R179" i="1"/>
  <c r="R176" i="1"/>
  <c r="R198" i="1"/>
  <c r="R190" i="1"/>
  <c r="R182" i="1"/>
  <c r="R174" i="1"/>
  <c r="D6" i="4"/>
  <c r="F6" i="2"/>
  <c r="R201" i="1"/>
  <c r="R173" i="1"/>
  <c r="R172" i="1"/>
  <c r="R171" i="1"/>
  <c r="R170" i="1"/>
  <c r="R169" i="1"/>
  <c r="U161" i="1"/>
  <c r="S161" i="1"/>
  <c r="U160" i="1"/>
  <c r="S160" i="1"/>
  <c r="U159" i="1"/>
  <c r="S159" i="1"/>
  <c r="U158" i="1"/>
  <c r="S158" i="1"/>
  <c r="U157" i="1"/>
  <c r="S157" i="1"/>
  <c r="U156" i="1"/>
  <c r="S156" i="1"/>
  <c r="U155" i="1"/>
  <c r="S155" i="1"/>
  <c r="U154" i="1"/>
  <c r="S154" i="1"/>
  <c r="U153" i="1"/>
  <c r="S153" i="1"/>
  <c r="U152" i="1"/>
  <c r="S152" i="1"/>
  <c r="U151" i="1"/>
  <c r="S151" i="1"/>
  <c r="U150" i="1"/>
  <c r="S150" i="1"/>
  <c r="U149" i="1"/>
  <c r="S149" i="1"/>
  <c r="U148" i="1"/>
  <c r="S148" i="1"/>
  <c r="U147" i="1"/>
  <c r="S147" i="1"/>
  <c r="U146" i="1"/>
  <c r="S146" i="1"/>
  <c r="U145" i="1"/>
  <c r="S145" i="1"/>
  <c r="U144" i="1"/>
  <c r="S144" i="1"/>
  <c r="U143" i="1"/>
  <c r="S143" i="1"/>
  <c r="U142" i="1"/>
  <c r="S142" i="1"/>
  <c r="U141" i="1"/>
  <c r="S141" i="1"/>
  <c r="U140" i="1"/>
  <c r="S140" i="1"/>
  <c r="U139" i="1"/>
  <c r="U138" i="1"/>
  <c r="U137" i="1"/>
  <c r="S137" i="1"/>
  <c r="U136" i="1"/>
  <c r="S136" i="1"/>
  <c r="U135" i="1"/>
  <c r="S135" i="1"/>
  <c r="U134" i="1"/>
  <c r="S134" i="1"/>
  <c r="U133" i="1"/>
  <c r="S133" i="1"/>
  <c r="U132" i="1"/>
  <c r="T132" i="1"/>
  <c r="U131" i="1"/>
  <c r="T131" i="1"/>
  <c r="U130" i="1"/>
  <c r="S130" i="1"/>
  <c r="U129" i="1"/>
  <c r="S129" i="1"/>
  <c r="U128" i="1"/>
  <c r="S128" i="1"/>
  <c r="U127" i="1"/>
  <c r="S127" i="1"/>
  <c r="U126" i="1"/>
  <c r="S126" i="1"/>
  <c r="U125" i="1"/>
  <c r="S125" i="1"/>
  <c r="U124" i="1"/>
  <c r="T124" i="1"/>
  <c r="S124" i="1"/>
  <c r="U123" i="1"/>
  <c r="T123" i="1"/>
  <c r="S123" i="1"/>
  <c r="U122" i="1"/>
  <c r="T122" i="1"/>
  <c r="S122" i="1"/>
  <c r="U121" i="1"/>
  <c r="S121" i="1"/>
  <c r="U120" i="1"/>
  <c r="U119" i="1"/>
  <c r="U118" i="1"/>
  <c r="S118" i="1"/>
  <c r="U117" i="1"/>
  <c r="S117" i="1"/>
  <c r="U116" i="1"/>
  <c r="T116" i="1"/>
  <c r="S116" i="1"/>
  <c r="U115" i="1"/>
  <c r="T115" i="1"/>
  <c r="U114" i="1"/>
  <c r="T114" i="1"/>
  <c r="U113" i="1"/>
  <c r="T113" i="1"/>
  <c r="U112" i="1"/>
  <c r="T112" i="1"/>
  <c r="AC118" i="1"/>
  <c r="U111" i="1"/>
  <c r="S111" i="1"/>
  <c r="AC117" i="1"/>
  <c r="U110" i="1"/>
  <c r="S110" i="1"/>
  <c r="U109" i="1"/>
  <c r="T109" i="1"/>
  <c r="S109" i="1"/>
  <c r="U108" i="1"/>
  <c r="T108" i="1"/>
  <c r="U107" i="1"/>
  <c r="T107" i="1"/>
  <c r="U106" i="1"/>
  <c r="T106" i="1"/>
  <c r="U105" i="1"/>
  <c r="T105" i="1"/>
  <c r="U104" i="1"/>
  <c r="T104" i="1"/>
  <c r="S104" i="1"/>
  <c r="U103" i="1"/>
  <c r="T103" i="1"/>
  <c r="S103" i="1"/>
  <c r="U102" i="1"/>
  <c r="T102" i="1"/>
  <c r="S102" i="1"/>
  <c r="U101" i="1"/>
  <c r="T101" i="1"/>
  <c r="S101" i="1"/>
  <c r="U100" i="1"/>
  <c r="T100" i="1"/>
  <c r="S100" i="1"/>
  <c r="U99" i="1"/>
  <c r="T99" i="1"/>
  <c r="S99" i="1"/>
  <c r="U98" i="1"/>
  <c r="T98" i="1"/>
  <c r="S98" i="1"/>
  <c r="U97" i="1"/>
  <c r="T97" i="1"/>
  <c r="S97" i="1"/>
  <c r="U96" i="1"/>
  <c r="T96" i="1"/>
  <c r="S96" i="1"/>
  <c r="U95" i="1"/>
  <c r="T95" i="1"/>
  <c r="S95" i="1"/>
  <c r="U94" i="1"/>
  <c r="T94" i="1"/>
  <c r="S94" i="1"/>
  <c r="U93" i="1"/>
  <c r="T93" i="1"/>
  <c r="S93" i="1"/>
  <c r="U92" i="1"/>
  <c r="T92" i="1"/>
  <c r="S92" i="1"/>
  <c r="U91" i="1"/>
  <c r="T91" i="1"/>
  <c r="S91" i="1"/>
  <c r="U90" i="1"/>
  <c r="T90" i="1"/>
  <c r="S90" i="1"/>
  <c r="U89" i="1"/>
  <c r="T89" i="1"/>
  <c r="S89" i="1"/>
  <c r="U88" i="1"/>
  <c r="T88" i="1"/>
  <c r="S88" i="1"/>
  <c r="U87" i="1"/>
  <c r="T87" i="1"/>
  <c r="S87" i="1"/>
  <c r="U86" i="1"/>
  <c r="T86" i="1"/>
  <c r="S86" i="1"/>
  <c r="U85" i="1"/>
  <c r="T85" i="1"/>
  <c r="S85" i="1"/>
  <c r="U84" i="1"/>
  <c r="T84" i="1"/>
  <c r="S84" i="1"/>
  <c r="U83" i="1"/>
  <c r="T83" i="1"/>
  <c r="S83" i="1"/>
  <c r="U82" i="1"/>
  <c r="T82" i="1"/>
  <c r="S82" i="1"/>
  <c r="U81" i="1"/>
  <c r="T81" i="1"/>
  <c r="S81" i="1"/>
  <c r="U80" i="1"/>
  <c r="T80" i="1"/>
  <c r="S80" i="1"/>
  <c r="U79" i="1"/>
  <c r="T79" i="1"/>
  <c r="S79" i="1"/>
  <c r="U78" i="1"/>
  <c r="T78" i="1"/>
  <c r="S78" i="1"/>
  <c r="U77" i="1"/>
  <c r="T77" i="1"/>
  <c r="S77" i="1"/>
  <c r="U76" i="1"/>
  <c r="T76" i="1"/>
  <c r="S76" i="1"/>
  <c r="U75" i="1"/>
  <c r="T75" i="1"/>
  <c r="S75" i="1"/>
  <c r="U74" i="1"/>
  <c r="T74" i="1"/>
  <c r="S74" i="1"/>
  <c r="U73" i="1"/>
  <c r="T73" i="1"/>
  <c r="S73" i="1"/>
  <c r="U72" i="1"/>
  <c r="T72" i="1"/>
  <c r="S72" i="1"/>
  <c r="Y78" i="1"/>
  <c r="Y80" i="1" s="1"/>
  <c r="U71" i="1"/>
  <c r="T71" i="1"/>
  <c r="S71" i="1"/>
  <c r="Y79" i="1"/>
  <c r="U70" i="1"/>
  <c r="T70" i="1"/>
  <c r="S70" i="1"/>
  <c r="U69" i="1"/>
  <c r="T69" i="1"/>
  <c r="S69" i="1"/>
  <c r="Y75" i="1"/>
  <c r="U68" i="1"/>
  <c r="T68" i="1"/>
  <c r="S68" i="1"/>
  <c r="U67" i="1"/>
  <c r="T67" i="1"/>
  <c r="S67" i="1"/>
  <c r="U66" i="1"/>
  <c r="T66" i="1"/>
  <c r="S66" i="1"/>
  <c r="U65" i="1"/>
  <c r="T65" i="1"/>
  <c r="S65" i="1"/>
  <c r="U64" i="1"/>
  <c r="T64" i="1"/>
  <c r="S64" i="1"/>
  <c r="U63" i="1"/>
  <c r="T63" i="1"/>
  <c r="S63" i="1"/>
  <c r="U62" i="1"/>
  <c r="T62" i="1"/>
  <c r="S62" i="1"/>
  <c r="U61" i="1"/>
  <c r="T61" i="1"/>
  <c r="S61" i="1"/>
  <c r="U60" i="1"/>
  <c r="T60" i="1"/>
  <c r="S60" i="1"/>
  <c r="U59" i="1"/>
  <c r="T59" i="1"/>
  <c r="S59" i="1"/>
  <c r="U58" i="1"/>
  <c r="T58" i="1"/>
  <c r="S58" i="1"/>
  <c r="U57" i="1"/>
  <c r="T57" i="1"/>
  <c r="S57" i="1"/>
  <c r="U56" i="1"/>
  <c r="S56" i="1"/>
  <c r="U55" i="1"/>
  <c r="S55" i="1"/>
  <c r="U54" i="1"/>
  <c r="S54" i="1"/>
  <c r="U53" i="1"/>
  <c r="S53" i="1"/>
  <c r="U52" i="1"/>
  <c r="T52" i="1"/>
  <c r="S52" i="1"/>
  <c r="U51" i="1"/>
  <c r="T51" i="1"/>
  <c r="S51" i="1"/>
  <c r="U50" i="1"/>
  <c r="T50" i="1"/>
  <c r="S50" i="1"/>
  <c r="U49" i="1"/>
  <c r="T49" i="1"/>
  <c r="S49" i="1"/>
  <c r="S48" i="1"/>
  <c r="U47" i="1"/>
  <c r="T47" i="1"/>
  <c r="S47" i="1"/>
  <c r="U46" i="1"/>
  <c r="T46" i="1"/>
  <c r="S46" i="1"/>
  <c r="U45" i="1"/>
  <c r="T45" i="1"/>
  <c r="S45" i="1"/>
  <c r="N2" i="1"/>
  <c r="T54" i="1" l="1"/>
  <c r="R37" i="1"/>
  <c r="T53" i="1"/>
  <c r="R53" i="1" s="1"/>
  <c r="S115" i="1"/>
  <c r="R115" i="1" s="1"/>
  <c r="T56" i="1"/>
  <c r="R56" i="1" s="1"/>
  <c r="S138" i="1"/>
  <c r="T127" i="1"/>
  <c r="R127" i="1" s="1"/>
  <c r="S139" i="1"/>
  <c r="T157" i="1"/>
  <c r="R157" i="1" s="1"/>
  <c r="T168" i="1"/>
  <c r="R168" i="1" s="1"/>
  <c r="T166" i="1"/>
  <c r="R166" i="1" s="1"/>
  <c r="T164" i="1"/>
  <c r="R164" i="1" s="1"/>
  <c r="T163" i="1"/>
  <c r="R163" i="1" s="1"/>
  <c r="T167" i="1"/>
  <c r="R167" i="1" s="1"/>
  <c r="T162" i="1"/>
  <c r="R162" i="1" s="1"/>
  <c r="T165" i="1"/>
  <c r="R165" i="1" s="1"/>
  <c r="S119" i="1"/>
  <c r="T125" i="1"/>
  <c r="R125" i="1" s="1"/>
  <c r="S114" i="1"/>
  <c r="R114" i="1" s="1"/>
  <c r="T55" i="1"/>
  <c r="R55" i="1" s="1"/>
  <c r="S120" i="1"/>
  <c r="T117" i="1"/>
  <c r="R117" i="1" s="1"/>
  <c r="T126" i="1"/>
  <c r="R126" i="1" s="1"/>
  <c r="R80" i="1"/>
  <c r="R123" i="1"/>
  <c r="R96" i="1"/>
  <c r="R71" i="1"/>
  <c r="R76" i="1"/>
  <c r="R74" i="1"/>
  <c r="R122" i="1"/>
  <c r="R59" i="1"/>
  <c r="R65" i="1"/>
  <c r="R124" i="1"/>
  <c r="R50" i="1"/>
  <c r="R86" i="1"/>
  <c r="R46" i="1"/>
  <c r="S107" i="1"/>
  <c r="R107" i="1" s="1"/>
  <c r="R45" i="1"/>
  <c r="R67" i="1"/>
  <c r="R97" i="1"/>
  <c r="T111" i="1"/>
  <c r="R111" i="1" s="1"/>
  <c r="R47" i="1"/>
  <c r="R51" i="1"/>
  <c r="R69" i="1"/>
  <c r="R83" i="1"/>
  <c r="R90" i="1"/>
  <c r="R92" i="1"/>
  <c r="R98" i="1"/>
  <c r="T110" i="1"/>
  <c r="R110" i="1" s="1"/>
  <c r="R49" i="1"/>
  <c r="R58" i="1"/>
  <c r="R75" i="1"/>
  <c r="R77" i="1"/>
  <c r="R82" i="1"/>
  <c r="R91" i="1"/>
  <c r="R81" i="1"/>
  <c r="R93" i="1"/>
  <c r="R95" i="1"/>
  <c r="R109" i="1"/>
  <c r="R79" i="1"/>
  <c r="R99" i="1"/>
  <c r="R101" i="1"/>
  <c r="R103" i="1"/>
  <c r="R78" i="1"/>
  <c r="R87" i="1"/>
  <c r="R94" i="1"/>
  <c r="R60" i="1"/>
  <c r="R88" i="1"/>
  <c r="R85" i="1"/>
  <c r="R100" i="1"/>
  <c r="R102" i="1"/>
  <c r="R116" i="1"/>
  <c r="R54" i="1"/>
  <c r="R62" i="1"/>
  <c r="R72" i="1"/>
  <c r="R63" i="1"/>
  <c r="R84" i="1"/>
  <c r="R89" i="1"/>
  <c r="R104" i="1"/>
  <c r="R61" i="1"/>
  <c r="T138" i="1"/>
  <c r="T146" i="1"/>
  <c r="R146" i="1" s="1"/>
  <c r="T154" i="1"/>
  <c r="R154" i="1" s="1"/>
  <c r="T48" i="1"/>
  <c r="R48" i="1" s="1"/>
  <c r="S106" i="1"/>
  <c r="R106" i="1" s="1"/>
  <c r="T121" i="1"/>
  <c r="R121" i="1" s="1"/>
  <c r="T129" i="1"/>
  <c r="R129" i="1" s="1"/>
  <c r="T135" i="1"/>
  <c r="R135" i="1" s="1"/>
  <c r="T143" i="1"/>
  <c r="R143" i="1" s="1"/>
  <c r="T151" i="1"/>
  <c r="R151" i="1" s="1"/>
  <c r="T159" i="1"/>
  <c r="R159" i="1" s="1"/>
  <c r="S112" i="1"/>
  <c r="R112" i="1" s="1"/>
  <c r="T118" i="1"/>
  <c r="R118" i="1" s="1"/>
  <c r="S131" i="1"/>
  <c r="R131" i="1" s="1"/>
  <c r="T140" i="1"/>
  <c r="R140" i="1" s="1"/>
  <c r="T148" i="1"/>
  <c r="R148" i="1" s="1"/>
  <c r="T156" i="1"/>
  <c r="R156" i="1" s="1"/>
  <c r="S108" i="1"/>
  <c r="R108" i="1" s="1"/>
  <c r="T134" i="1"/>
  <c r="R134" i="1" s="1"/>
  <c r="T137" i="1"/>
  <c r="R137" i="1" s="1"/>
  <c r="T145" i="1"/>
  <c r="R145" i="1" s="1"/>
  <c r="T153" i="1"/>
  <c r="R153" i="1" s="1"/>
  <c r="T161" i="1"/>
  <c r="R161" i="1" s="1"/>
  <c r="S105" i="1"/>
  <c r="R105" i="1" s="1"/>
  <c r="T120" i="1"/>
  <c r="T128" i="1"/>
  <c r="R128" i="1" s="1"/>
  <c r="T142" i="1"/>
  <c r="R142" i="1" s="1"/>
  <c r="T150" i="1"/>
  <c r="R150" i="1" s="1"/>
  <c r="T158" i="1"/>
  <c r="R158" i="1" s="1"/>
  <c r="T133" i="1"/>
  <c r="R133" i="1" s="1"/>
  <c r="T139" i="1"/>
  <c r="T147" i="1"/>
  <c r="R147" i="1" s="1"/>
  <c r="T155" i="1"/>
  <c r="R155" i="1" s="1"/>
  <c r="T130" i="1"/>
  <c r="R130" i="1" s="1"/>
  <c r="T136" i="1"/>
  <c r="R136" i="1" s="1"/>
  <c r="T144" i="1"/>
  <c r="R144" i="1" s="1"/>
  <c r="T152" i="1"/>
  <c r="R152" i="1" s="1"/>
  <c r="T160" i="1"/>
  <c r="R160" i="1" s="1"/>
  <c r="S113" i="1"/>
  <c r="R113" i="1" s="1"/>
  <c r="T119" i="1"/>
  <c r="S132" i="1"/>
  <c r="R132" i="1" s="1"/>
  <c r="T141" i="1"/>
  <c r="R141" i="1" s="1"/>
  <c r="T149" i="1"/>
  <c r="R149" i="1" s="1"/>
  <c r="R139" i="1" l="1"/>
  <c r="R66" i="1"/>
  <c r="R64" i="1"/>
  <c r="R73" i="1"/>
  <c r="R70" i="1"/>
  <c r="R120" i="1"/>
  <c r="R138" i="1"/>
  <c r="R68" i="1"/>
  <c r="R119" i="1"/>
  <c r="R57" i="1"/>
  <c r="R52" i="1"/>
</calcChain>
</file>

<file path=xl/sharedStrings.xml><?xml version="1.0" encoding="utf-8"?>
<sst xmlns="http://schemas.openxmlformats.org/spreadsheetml/2006/main" count="1492" uniqueCount="521">
  <si>
    <t>Pricing</t>
  </si>
  <si>
    <t>Type</t>
  </si>
  <si>
    <t>Nombre de personne</t>
  </si>
  <si>
    <t>Nombre de niveau</t>
  </si>
  <si>
    <t>Moteur marque</t>
  </si>
  <si>
    <t>Porte marque</t>
  </si>
  <si>
    <t>Porte matériau</t>
  </si>
  <si>
    <t>Porte type</t>
  </si>
  <si>
    <t>Porte dimension</t>
  </si>
  <si>
    <t>Moteur capacité</t>
  </si>
  <si>
    <t>Items Pricing Order Lift Morocco</t>
  </si>
  <si>
    <t>Ascenseur complet</t>
  </si>
  <si>
    <t>VVVF</t>
  </si>
  <si>
    <t>ATERYA</t>
  </si>
  <si>
    <t>Version 11/12/2025</t>
  </si>
  <si>
    <t>Générer devis</t>
  </si>
  <si>
    <t>normal</t>
  </si>
  <si>
    <t>Ascenseur Complet</t>
  </si>
  <si>
    <t>Générer devis promoteur</t>
  </si>
  <si>
    <t>Porte 70 prs inf 4 &amp; 80 pour &gt;= 5 prs</t>
  </si>
  <si>
    <t>Standard, Gaine &gt; 130 x 130. &gt;11 étages</t>
  </si>
  <si>
    <t>Ref</t>
  </si>
  <si>
    <t>Description</t>
  </si>
  <si>
    <t>Composante</t>
  </si>
  <si>
    <t>Unité</t>
  </si>
  <si>
    <t>Poids</t>
  </si>
  <si>
    <t>Prix à proposer ss stock (min)</t>
  </si>
  <si>
    <t>Prix à proposer (normal)</t>
  </si>
  <si>
    <t>Prix à proposer avec stock</t>
  </si>
  <si>
    <t>Quantité</t>
  </si>
  <si>
    <t>Type de prix</t>
  </si>
  <si>
    <t>TOTAL COMPOSANTES</t>
  </si>
  <si>
    <t>ARMOIRE</t>
  </si>
  <si>
    <t>MOTEUR</t>
  </si>
  <si>
    <t>PORTE</t>
  </si>
  <si>
    <t>OPÉRATEUR</t>
  </si>
  <si>
    <t>CABINE &amp; ARCADE</t>
  </si>
  <si>
    <t>RAILS &amp; ACCESSOIRES</t>
  </si>
  <si>
    <t>CABLES &amp; ACCESSOIRES</t>
  </si>
  <si>
    <t>CABLES ELECTRIQUES &amp; ACCESSOIRES</t>
  </si>
  <si>
    <t>BOUTONS</t>
  </si>
  <si>
    <t>GOSE</t>
  </si>
  <si>
    <t>AUTRES</t>
  </si>
  <si>
    <t>IT.1</t>
  </si>
  <si>
    <t>SET CABINE STANDARD INOX 1200/1100 + ARCADES &amp; ACCESSOIRES GEARBOX</t>
  </si>
  <si>
    <t>SET</t>
  </si>
  <si>
    <t>IT.1-1</t>
  </si>
  <si>
    <t>IT.1-2</t>
  </si>
  <si>
    <t>IT.1-3</t>
  </si>
  <si>
    <t>CABINE INOX 1100/1000 STANDARD</t>
  </si>
  <si>
    <t>IT.1-4</t>
  </si>
  <si>
    <t>CABINE INOX 1100/1000 PERSONALISÉE</t>
  </si>
  <si>
    <t>IT.1-5</t>
  </si>
  <si>
    <t>IT.1-6</t>
  </si>
  <si>
    <t>IT.1-7</t>
  </si>
  <si>
    <t>IT.1-8</t>
  </si>
  <si>
    <t>IT.1-9</t>
  </si>
  <si>
    <t>IT.1-10</t>
  </si>
  <si>
    <t>IT.1-11</t>
  </si>
  <si>
    <t>IT.1-12</t>
  </si>
  <si>
    <t>IT.2</t>
  </si>
  <si>
    <t>Pc</t>
  </si>
  <si>
    <t>IT.3</t>
  </si>
  <si>
    <t>IT.4</t>
  </si>
  <si>
    <t>Local</t>
  </si>
  <si>
    <t>IT.5</t>
  </si>
  <si>
    <t>IT.6</t>
  </si>
  <si>
    <t>IT.7</t>
  </si>
  <si>
    <t>SERRURE (DOOR LOCK)</t>
  </si>
  <si>
    <t>IT.8</t>
  </si>
  <si>
    <t>CAME DC 220V / 60V</t>
  </si>
  <si>
    <t>IT.9</t>
  </si>
  <si>
    <t>DICTATOR</t>
  </si>
  <si>
    <t>IT.10</t>
  </si>
  <si>
    <t>IT.11</t>
  </si>
  <si>
    <t>IT.12</t>
  </si>
  <si>
    <t>MOTEUR AKİŞ 2V MAX4 MAX6</t>
  </si>
  <si>
    <t>IT.13</t>
  </si>
  <si>
    <t>MOTEUR AKİŞ 2V MAX8</t>
  </si>
  <si>
    <t>IT.14</t>
  </si>
  <si>
    <t>CLASSIC BRACKET 60X60 (PATE)</t>
  </si>
  <si>
    <t>IT.15</t>
  </si>
  <si>
    <t>CLASSIC BRACKET 60X80  (PATE)</t>
  </si>
  <si>
    <t>IT.16</t>
  </si>
  <si>
    <t>CROMPO 50</t>
  </si>
  <si>
    <t>IT.17</t>
  </si>
  <si>
    <t>CROMPO 70</t>
  </si>
  <si>
    <t>IT.18</t>
  </si>
  <si>
    <t>IT.19</t>
  </si>
  <si>
    <t>CROMPO 90</t>
  </si>
  <si>
    <t>IT.20</t>
  </si>
  <si>
    <t>IT.21</t>
  </si>
  <si>
    <t>BOULON 8/30</t>
  </si>
  <si>
    <t>IT.22</t>
  </si>
  <si>
    <t>BOULON 12/25</t>
  </si>
  <si>
    <t>IT.23</t>
  </si>
  <si>
    <t>BOULON 12/40</t>
  </si>
  <si>
    <t>IT.24</t>
  </si>
  <si>
    <t>BOULON 14/70</t>
  </si>
  <si>
    <t>IT.25</t>
  </si>
  <si>
    <t>CHEVEILLE 12/100</t>
  </si>
  <si>
    <t>IT.26</t>
  </si>
  <si>
    <t>GUIDE RAIL 50</t>
  </si>
  <si>
    <t>IT.27</t>
  </si>
  <si>
    <t>GUIDE RAIL 70</t>
  </si>
  <si>
    <t>IT.28</t>
  </si>
  <si>
    <t>SET RAIL : 50 + 70</t>
  </si>
  <si>
    <t>IT.29</t>
  </si>
  <si>
    <t>IT.30</t>
  </si>
  <si>
    <t>IT.31</t>
  </si>
  <si>
    <t>CABLE TRACTION (10mm)</t>
  </si>
  <si>
    <t>M</t>
  </si>
  <si>
    <t>IT.32</t>
  </si>
  <si>
    <t>IT.33</t>
  </si>
  <si>
    <t>CABLE REGULATEUR (6mm)</t>
  </si>
  <si>
    <t>IT.34</t>
  </si>
  <si>
    <t>TIRANDS 10MM</t>
  </si>
  <si>
    <t>IT.35</t>
  </si>
  <si>
    <t>IT.36</t>
  </si>
  <si>
    <t>SERRE CABLE DIAM 10mm *</t>
  </si>
  <si>
    <t>IT.37</t>
  </si>
  <si>
    <t>IT.38</t>
  </si>
  <si>
    <t>SERRE CABLE DIAM 6mm *</t>
  </si>
  <si>
    <t>IT.39</t>
  </si>
  <si>
    <t>GOSE 96 CM (50 KG)</t>
  </si>
  <si>
    <t>IT.40</t>
  </si>
  <si>
    <t>COLLECTEUR D'HUILE</t>
  </si>
  <si>
    <t>IT.41</t>
  </si>
  <si>
    <t>BOITE DE LUBRIFICATION</t>
  </si>
  <si>
    <t>IT.42</t>
  </si>
  <si>
    <t>COULISSEAUX CABIN</t>
  </si>
  <si>
    <t>IT.43</t>
  </si>
  <si>
    <t>COULISSEAUX CONTRE-POIDS</t>
  </si>
  <si>
    <t>IT.44</t>
  </si>
  <si>
    <t>IT.45</t>
  </si>
  <si>
    <t>POULIE RENVOI 5*10 GEARBOX</t>
  </si>
  <si>
    <t>IT.46</t>
  </si>
  <si>
    <t>IT.47</t>
  </si>
  <si>
    <t>IT.48</t>
  </si>
  <si>
    <t>CABLE 4MM</t>
  </si>
  <si>
    <t>IT.49</t>
  </si>
  <si>
    <t>CÂBLE NUMÉRIQUE DT/13</t>
  </si>
  <si>
    <t>IT.50</t>
  </si>
  <si>
    <t>IT.51</t>
  </si>
  <si>
    <t>CABLE SOUPLE 24</t>
  </si>
  <si>
    <t>IT.52</t>
  </si>
  <si>
    <t>IT.53</t>
  </si>
  <si>
    <t>WIRE DUCT GOULLOTTE 40X40</t>
  </si>
  <si>
    <t>IT.54</t>
  </si>
  <si>
    <t>TUBE SPIRALÉ 14MM</t>
  </si>
  <si>
    <t>IT.55</t>
  </si>
  <si>
    <t>BOUTONS DE CABINE D’ASCENSEUR 2M</t>
  </si>
  <si>
    <t>IT.56</t>
  </si>
  <si>
    <t>BOUTONS DE CABINE D’ASCENSEUR 1M</t>
  </si>
  <si>
    <t>IT.57</t>
  </si>
  <si>
    <t>BOUTON PALIER AVEC AFFICHEUR</t>
  </si>
  <si>
    <t>IT.58</t>
  </si>
  <si>
    <t>BOUTON PALIER</t>
  </si>
  <si>
    <t>IT.59</t>
  </si>
  <si>
    <t>INDICATEURS D’ATTERISSAGE</t>
  </si>
  <si>
    <t>IT.60</t>
  </si>
  <si>
    <t>BOÎTE D'ALARME</t>
  </si>
  <si>
    <t>IT.61</t>
  </si>
  <si>
    <t>BOUTON DE SECOURS</t>
  </si>
  <si>
    <t>IT.62</t>
  </si>
  <si>
    <t xml:space="preserve">ROLLER SWITCH </t>
  </si>
  <si>
    <t>IT.63</t>
  </si>
  <si>
    <t>LIMIT SWITCH</t>
  </si>
  <si>
    <t>IT.64</t>
  </si>
  <si>
    <t>PHOTOCELLULE</t>
  </si>
  <si>
    <t>IT.65</t>
  </si>
  <si>
    <t>OPERATEUR CARTE ARKEL KM-10</t>
  </si>
  <si>
    <t>IT.66</t>
  </si>
  <si>
    <t>OPERATEUR CARTE KM-10 COPY</t>
  </si>
  <si>
    <t>IT.67</t>
  </si>
  <si>
    <t>IT.68</t>
  </si>
  <si>
    <t>IT.69</t>
  </si>
  <si>
    <t>ARMOIRE VVVF EEM MONARCH + BOITE INSPECTION + ALARM MAX4 MAX6 MAX8</t>
  </si>
  <si>
    <t>IT.70</t>
  </si>
  <si>
    <t>ARMOIRE VVVF EEM MONARCH + BOITE INSPECTION + ALARM MAX10</t>
  </si>
  <si>
    <t>IT.71</t>
  </si>
  <si>
    <t>ARMOIRE 2V EEM + BOITE INSPECTION + ALARM MAX4 MAX6 MAX8</t>
  </si>
  <si>
    <t>IT.72</t>
  </si>
  <si>
    <t>ARMOIRE 2V EEM + BOITE INSPECTION + ALARM MAX10</t>
  </si>
  <si>
    <t>IT.73</t>
  </si>
  <si>
    <t>UPS</t>
  </si>
  <si>
    <t>IT.74</t>
  </si>
  <si>
    <t>CHASSIS MOTEUR STANDARD VVVF 2V AVEC CYLINBLOC</t>
  </si>
  <si>
    <t>IT.75</t>
  </si>
  <si>
    <t>IT.76</t>
  </si>
  <si>
    <t>ARMOIRE GEARLESS EEM + BOITE INSPECTION + ALARM MAX4 MAX6 MAX8</t>
  </si>
  <si>
    <t>IT.77</t>
  </si>
  <si>
    <t>ARMOIRE GEARLESS EEM + BOITE INSPECTION + ALARM MAX10</t>
  </si>
  <si>
    <t>IT.78</t>
  </si>
  <si>
    <t>OPERATEUR 60CM ATERYA</t>
  </si>
  <si>
    <t>IT.79</t>
  </si>
  <si>
    <t>CABINE 90*62CM</t>
  </si>
  <si>
    <t>IT.80</t>
  </si>
  <si>
    <t>CALIBTEURS FIN DE COURSE</t>
  </si>
  <si>
    <t>IT.81</t>
  </si>
  <si>
    <t>GOSE 76CM - 31KG</t>
  </si>
  <si>
    <t>IT.82</t>
  </si>
  <si>
    <t>MOTEUR PRIMO 2V MAX4 + CHASSIS</t>
  </si>
  <si>
    <t>IT.83</t>
  </si>
  <si>
    <t>MOTEUR PRIMO 2V MAX6 + CHASSIS</t>
  </si>
  <si>
    <t>IT.84</t>
  </si>
  <si>
    <t>MOTEUR PRIMO 2V MAX8 + CHASSIS</t>
  </si>
  <si>
    <t>IT.85</t>
  </si>
  <si>
    <t>MOTEUR PRIMO 2V MAX10 + CHASSIS</t>
  </si>
  <si>
    <t>IT.86</t>
  </si>
  <si>
    <t>PORTES CABINE / OPERATEUR *DEAS* INOX 70/80</t>
  </si>
  <si>
    <t>IT.87</t>
  </si>
  <si>
    <t>PORTES PALIERE AUTOMATIQUE INOX *DEAS* 70/80</t>
  </si>
  <si>
    <t>IT.88</t>
  </si>
  <si>
    <t>PORTES PALIERE AUTOMATIQUE PEINTURE EPOXY *DEAS* 70/80</t>
  </si>
  <si>
    <t>IT.89</t>
  </si>
  <si>
    <t>IT.90</t>
  </si>
  <si>
    <t>IT.91</t>
  </si>
  <si>
    <t>IT.92</t>
  </si>
  <si>
    <t>IT.93</t>
  </si>
  <si>
    <t>IT.94</t>
  </si>
  <si>
    <t>IT.95</t>
  </si>
  <si>
    <t>IT.96</t>
  </si>
  <si>
    <t>IT.97</t>
  </si>
  <si>
    <t>MOTEUR PRIMO GEARLESS MAX4 MAX6 + CHASSIS</t>
  </si>
  <si>
    <t>IT.98</t>
  </si>
  <si>
    <t>MOTEUR PRIMO VVVF MAX6 + CHASSIS</t>
  </si>
  <si>
    <t>IT.99</t>
  </si>
  <si>
    <t>MOTEUR PRIMO VVVF MAX4 + CHASSIS</t>
  </si>
  <si>
    <t>IT.100</t>
  </si>
  <si>
    <t>MOTEUR PRIMO VVVF MAX8 + CHASSIS</t>
  </si>
  <si>
    <t>IT.101</t>
  </si>
  <si>
    <t>MOTEUR PRIMO VVVF MAX10 + CHASSIS</t>
  </si>
  <si>
    <t>IT.102</t>
  </si>
  <si>
    <t>IT.103</t>
  </si>
  <si>
    <t>IT.104</t>
  </si>
  <si>
    <t>IT.105</t>
  </si>
  <si>
    <t>IT.106</t>
  </si>
  <si>
    <t>IT.107</t>
  </si>
  <si>
    <t>IT.108</t>
  </si>
  <si>
    <t>IT.109</t>
  </si>
  <si>
    <t>IT.110</t>
  </si>
  <si>
    <t>IT.111</t>
  </si>
  <si>
    <t>IT.112</t>
  </si>
  <si>
    <t>IT.113</t>
  </si>
  <si>
    <t>IT.114</t>
  </si>
  <si>
    <t>IT.115</t>
  </si>
  <si>
    <t>IT.116</t>
  </si>
  <si>
    <t>IT.117</t>
  </si>
  <si>
    <t>IT.118</t>
  </si>
  <si>
    <t>IT.119</t>
  </si>
  <si>
    <t>IT.120</t>
  </si>
  <si>
    <t>MOTEUR GEM VVVF MAX8</t>
  </si>
  <si>
    <t>IT.121</t>
  </si>
  <si>
    <t>IT.122</t>
  </si>
  <si>
    <t>IT.123</t>
  </si>
  <si>
    <t>IT.124</t>
  </si>
  <si>
    <t>IT.125</t>
  </si>
  <si>
    <t>IT.126</t>
  </si>
  <si>
    <t xml:space="preserve">MONOSTABLE </t>
  </si>
  <si>
    <t>IT.127</t>
  </si>
  <si>
    <t>BISTABLE</t>
  </si>
  <si>
    <t>IT.128</t>
  </si>
  <si>
    <t>ECLAIRAGE DE GAINE</t>
  </si>
  <si>
    <t>IT.129</t>
  </si>
  <si>
    <t>PORTE PALIERE AUTOMATIQUE INOX FERMATOR 90</t>
  </si>
  <si>
    <t>IT.130</t>
  </si>
  <si>
    <t>PORTE PALIERE AUTOMATIQUE EPOXY FERMATOR 90</t>
  </si>
  <si>
    <t>IT.131</t>
  </si>
  <si>
    <t>OPERATEUR INOX FERMATOR 90</t>
  </si>
  <si>
    <t>IT.132</t>
  </si>
  <si>
    <t>ECHELLE</t>
  </si>
  <si>
    <t>Date</t>
  </si>
  <si>
    <t>Niveaux :</t>
  </si>
  <si>
    <t>Validité : 15 jours</t>
  </si>
  <si>
    <t>Personnes :</t>
  </si>
  <si>
    <t xml:space="preserve">Email : </t>
  </si>
  <si>
    <t>Type :</t>
  </si>
  <si>
    <t>Réf.</t>
  </si>
  <si>
    <t>Prix Unitaire TTC (MAD)</t>
  </si>
  <si>
    <t>Total TTC
(MAD)</t>
  </si>
  <si>
    <t>Total général TTC (MAD)</t>
  </si>
  <si>
    <t>Mode de paiement : 30% à la commande, 70% à la livraison</t>
  </si>
  <si>
    <t>ORDER LIFT MOROCCO</t>
  </si>
  <si>
    <t>Adresse : Tanja Balia lots méditerrané 475 rue plage Essalam Nr 15 Tanger, Maroc</t>
  </si>
  <si>
    <r>
      <rPr>
        <sz val="11"/>
        <color theme="1"/>
        <rFont val="Calibri"/>
        <family val="2"/>
        <scheme val="minor"/>
      </rPr>
      <t xml:space="preserve">RC : 162443  -   ICE : 003698266000073   -   </t>
    </r>
    <r>
      <rPr>
        <u/>
        <sz val="11"/>
        <color theme="10"/>
        <rFont val="Calibri"/>
        <family val="2"/>
        <scheme val="minor"/>
      </rPr>
      <t>Email : info@orderlift.net</t>
    </r>
  </si>
  <si>
    <t>Total TTC</t>
  </si>
  <si>
    <t>Ft</t>
  </si>
  <si>
    <t>CABINE INOX 1400/1300 STANDARD</t>
  </si>
  <si>
    <t>PORTE PALIERE AUTOMATIQUE INOX ATERYA 90</t>
  </si>
  <si>
    <t>PORTE PALIERE AUTOMATIQUE EPOXY ATERYA 90</t>
  </si>
  <si>
    <t>CABINE INOX 1400/1300 PERSONALISÉE</t>
  </si>
  <si>
    <t>ARCADE CABINE 1400/1300 + ARCADE CONTRE-POIDS + TIRANDS + COULISSEAUX GEARBOX</t>
  </si>
  <si>
    <t>ARCADE CABINE 1400/1300 + ARCADE CONTRE-POIDS + TIRANDS + COULISSEAUX GEARLESS</t>
  </si>
  <si>
    <t>IT.133</t>
  </si>
  <si>
    <t>IT.134</t>
  </si>
  <si>
    <t>IT.135</t>
  </si>
  <si>
    <t>IT.136</t>
  </si>
  <si>
    <t>IT.137</t>
  </si>
  <si>
    <t>IT.138</t>
  </si>
  <si>
    <t>PORTE PALIERE AUTOMATIQUE INOX ATERYA 70/80</t>
  </si>
  <si>
    <t>PORTE PALIERE AUTOMATIQUE EPOXY ATERYA 70/80</t>
  </si>
  <si>
    <t>OPERATEUR PANORAMIQUE ATERYA 70/80/90</t>
  </si>
  <si>
    <t>IT.140</t>
  </si>
  <si>
    <t>IT.141</t>
  </si>
  <si>
    <t>CHASSIS MOTEUR GEARLESS</t>
  </si>
  <si>
    <t>IT.1-13</t>
  </si>
  <si>
    <t>IT.1-14</t>
  </si>
  <si>
    <t>IT.1-15</t>
  </si>
  <si>
    <t>IT.1-16</t>
  </si>
  <si>
    <t>CARTE OPERATEUR</t>
  </si>
  <si>
    <t>IT.139</t>
  </si>
  <si>
    <t>Fournisseur</t>
  </si>
  <si>
    <t>IT.142</t>
  </si>
  <si>
    <t>Délai de livraison : 5 Semaines</t>
  </si>
  <si>
    <t>Client : VERTIMOVE ASCENSEURS</t>
  </si>
  <si>
    <t>Adresse : TETOUAN</t>
  </si>
  <si>
    <t>Interlocuteur : M. HAFID EL BIAZ</t>
  </si>
  <si>
    <t>Devis N° : 008''/1.26</t>
  </si>
  <si>
    <t>GARNITURE COULISSEAU 70</t>
  </si>
  <si>
    <t>CABINE INOX 1200/1500 ORD-05</t>
  </si>
  <si>
    <t>ARCADE CABINE TYPE L 1200/1500 + ARCADE CONTRE-POIDS +  COULISSEAUX GEARBOX MAX8</t>
  </si>
  <si>
    <t>SET BRACKET TYPE L</t>
  </si>
  <si>
    <t>Délai de livraison : 7 semaines</t>
  </si>
  <si>
    <t>Mode de paiement : 40% à la commande, 40 % à la livraison totale du matériel, 15% installation totale, 5% Mise en marche</t>
  </si>
  <si>
    <t>STR1-1</t>
  </si>
  <si>
    <t>STR1-2</t>
  </si>
  <si>
    <t>STR1-3</t>
  </si>
  <si>
    <t>STR1-4</t>
  </si>
  <si>
    <t>STR2-1</t>
  </si>
  <si>
    <t>STR2-2</t>
  </si>
  <si>
    <t>STR2-3</t>
  </si>
  <si>
    <t>STR2-4</t>
  </si>
  <si>
    <t>STR3-1</t>
  </si>
  <si>
    <t>STR3-2</t>
  </si>
  <si>
    <t>STR3-3</t>
  </si>
  <si>
    <t>STR3-4</t>
  </si>
  <si>
    <t>STR4-1</t>
  </si>
  <si>
    <t>STR4-2</t>
  </si>
  <si>
    <t>STR4-3</t>
  </si>
  <si>
    <t>STR4-4</t>
  </si>
  <si>
    <t>STR5-1</t>
  </si>
  <si>
    <t>STR5-2</t>
  </si>
  <si>
    <t>STR5-3</t>
  </si>
  <si>
    <t>STR5-4</t>
  </si>
  <si>
    <t>STR6-1</t>
  </si>
  <si>
    <t>STR6-2</t>
  </si>
  <si>
    <t>STR6-3</t>
  </si>
  <si>
    <t>STR6-4</t>
  </si>
  <si>
    <t>STR7-1</t>
  </si>
  <si>
    <t>STR7-2</t>
  </si>
  <si>
    <t>STR7-3</t>
  </si>
  <si>
    <t>STR7-4</t>
  </si>
  <si>
    <t>M²</t>
  </si>
  <si>
    <t>HAB1</t>
  </si>
  <si>
    <t>HAB2</t>
  </si>
  <si>
    <t>HAB3</t>
  </si>
  <si>
    <t>CABINE INOX 1000/900 STANDARD</t>
  </si>
  <si>
    <t>CABINE INOX 1000/900 PERSONALISÉE</t>
  </si>
  <si>
    <t>CABINE INOX 1200/1100 STANDARD</t>
  </si>
  <si>
    <t>CABINE INOX 1200/1100 PERSONALISÉE</t>
  </si>
  <si>
    <t>ARCADE CABINE 1000/900 + ARCADE CONTRE-POIDS + TIRANDS + COULISSEAUX GEARBOX</t>
  </si>
  <si>
    <t>ARCADE CABINE 1000/900 + ARCADE CONTRE-POIDS + TIRANDS + COULISSEAUX GEARLESS</t>
  </si>
  <si>
    <t>ARCADE CABINE 1100/1000 + ARCADE CONTRE-POIDS + TIRANDS + COULISSEAUX GEARBOX</t>
  </si>
  <si>
    <t>ARCADE CABINE 1100/1000 + ARCADE CONTRE-POIDS + TIRANDS + COULISSEAUX GEARLESS</t>
  </si>
  <si>
    <t>ARCADE CABINE 1200/1100 + ARCADE CONTRE-POIDS + TIRANDS + COULISSEAUX GEARBOX</t>
  </si>
  <si>
    <t>ARCADE CABINE 1200/1100 + ARCADE CONTRE-POIDS + TIRANDS + COULISSEAUX GEARLESS</t>
  </si>
  <si>
    <t>IT.1-17</t>
  </si>
  <si>
    <t>IT.1-18</t>
  </si>
  <si>
    <t>IT.1-19</t>
  </si>
  <si>
    <t>IT.1-20</t>
  </si>
  <si>
    <t>IT.1-21</t>
  </si>
  <si>
    <t>IT.1-22</t>
  </si>
  <si>
    <t>IT.1-23</t>
  </si>
  <si>
    <t>GUIDE RAIL 90</t>
  </si>
  <si>
    <t>GARNITURE COULISSEAU 50</t>
  </si>
  <si>
    <t>CABLE GEARLESS (6,5mm)</t>
  </si>
  <si>
    <t>TIRANDS 6,5MM</t>
  </si>
  <si>
    <t>SERRE CABLE DIAM 6,5mm *</t>
  </si>
  <si>
    <t>BUFFER  CABIN/C,P / LES BOUDINS  SET COMPLET</t>
  </si>
  <si>
    <t>CABLE 0,75MM</t>
  </si>
  <si>
    <t>TTR CABLE 3*0,75MM</t>
  </si>
  <si>
    <t>SUPPORT CABLE SOUPLE TYPE RECTANGLE</t>
  </si>
  <si>
    <t>REGULATEUR DE VITESSE VVVF 1,0M/S</t>
  </si>
  <si>
    <t>REGULATEUR DE VITESSE 2V  1,0M/S-0,8M/S</t>
  </si>
  <si>
    <t>PORTE PALIERE AUTOMATIQUE INOX FERMATOR 70</t>
  </si>
  <si>
    <t>PORTE PALIERE AUTOMATIQUE EPOXY FERMATOR 70</t>
  </si>
  <si>
    <t>OPERATEUR INOX FERMATOR 70</t>
  </si>
  <si>
    <t>AKİŞ ZF60 4KW MAX4 400*4*10 1M/S 51M TRAVEL D, GEARBOX VVVF MAX4</t>
  </si>
  <si>
    <t>AKİŞ VOLPİ VF2 5,5KW MAX6 MAX8 480*5*10 33M TRAVEL D, GEARBOX VVVF</t>
  </si>
  <si>
    <t>AKİŞ VOLPİ VF2 7,5KW MAX10 480*5*10 33M TRAVEL D, GEARBOX VVVF</t>
  </si>
  <si>
    <t>PORTE PALIERE AUTOMATIQUE INOX FERMATOR 80</t>
  </si>
  <si>
    <t>PORTE PALIERE AUTOMATIQUE EPOXY FERMATOR 80</t>
  </si>
  <si>
    <t>OPERATEUR INOX FERMATOR 80</t>
  </si>
  <si>
    <t>PARACHUTE PROGRESSIF</t>
  </si>
  <si>
    <t>B2C : Promoteur ou particulier</t>
  </si>
  <si>
    <t>B2B : Installateur ou distributeur</t>
  </si>
  <si>
    <t>MOTEUR AKİŞ VOLPİ GEARLESS 3.9KW MAX4 MAX6 240*5*6.5MM 1.0M/S  +ENCODEUR</t>
  </si>
  <si>
    <t>MOTEUR AKİŞ VOLPİ GEARLESS 4.9KW MAX8 MAX10 240*7*6.5MM 1.0M/S +ENCODEUR</t>
  </si>
  <si>
    <t>CABINE  1000/900 PANORAMIQUE</t>
  </si>
  <si>
    <t>CABINE  1100/1000 PANORAMIQUE</t>
  </si>
  <si>
    <t>CABINE  1200/1100 PANORAMIQUE</t>
  </si>
  <si>
    <t>CABINE  1300/1200 STANDARD</t>
  </si>
  <si>
    <t>CABINE  1300/1200 PERSONALISÉE</t>
  </si>
  <si>
    <t>CABINE  1300/1200 PANORAMIQUE</t>
  </si>
  <si>
    <t>CABINE  1400/1300 PANORAMIQUE</t>
  </si>
  <si>
    <t>Interlocuteur : '-</t>
  </si>
  <si>
    <t>info@orderlift.net</t>
  </si>
  <si>
    <t>PORTE AUTOMATIQUE PANORAMIQUE ATERYA 70/80/90</t>
  </si>
  <si>
    <t>OPERATEUR INOX ATERYA 70/80                                                                                                                            EPOXY</t>
  </si>
  <si>
    <t>OPERATEUR INOX ATERYA 90                                                                                                                           EPOXY</t>
  </si>
  <si>
    <t>BOUTON PALIERE TACTILE</t>
  </si>
  <si>
    <t>BOUTON DE CABINE TACTILE</t>
  </si>
  <si>
    <t>MOTEUR MONTANARI 2V MAX4</t>
  </si>
  <si>
    <t>MOTEUR MONTANARI 2V MAX6</t>
  </si>
  <si>
    <t>MOTEUR MONTANARI 2V MAX8</t>
  </si>
  <si>
    <t>MOTEUR MONTANARI 2V MAX10</t>
  </si>
  <si>
    <t>MOTEUR MONTANARI VVVF MAX4</t>
  </si>
  <si>
    <t>MOTEUR MONTANARI VVVF MAX6</t>
  </si>
  <si>
    <t>MOTEUR MONTANARI VVVF MAX8</t>
  </si>
  <si>
    <t>MOTEUR MONTANARI VVVF MAX10</t>
  </si>
  <si>
    <t>MOTEUR MONTANARI GEARLESS MAX4</t>
  </si>
  <si>
    <t>MOTEUR MONTANARI GEARLESS MAX6</t>
  </si>
  <si>
    <t>MOTEUR MONTANARI GEARLESS MAX8</t>
  </si>
  <si>
    <t>MOTEUR MONTANARI GEARLESS MAX10</t>
  </si>
  <si>
    <t>MOTEUR GEM 2V MAX4</t>
  </si>
  <si>
    <t>MOTEUR GEM 2V MAX6</t>
  </si>
  <si>
    <t>MOTEUR GEM 2V MAX8</t>
  </si>
  <si>
    <t>MOTEUR GEM 2V MAX10</t>
  </si>
  <si>
    <t>MOTEUR GEM VVVF MAX4</t>
  </si>
  <si>
    <t>MOTEUR GEM VVVF MAX6</t>
  </si>
  <si>
    <t>MOTEUR GEM VVVF MAX10</t>
  </si>
  <si>
    <t>MOTEUR GEM GEARLESS MAX4</t>
  </si>
  <si>
    <t>MOTEUR GEM GEARLESS MAX6</t>
  </si>
  <si>
    <t>MOTEUR GEM GEARLESS MAX8</t>
  </si>
  <si>
    <t>MOTEUR GEM GEARLESS MAX10</t>
  </si>
  <si>
    <t>IT.143</t>
  </si>
  <si>
    <t>IT.144</t>
  </si>
  <si>
    <t>Bouton Tactile</t>
  </si>
  <si>
    <t>NON</t>
  </si>
  <si>
    <t>AKİŞ</t>
  </si>
  <si>
    <t>ARMOIRE ARKEL 330/ARL 300 22KW ADRIVE A3</t>
  </si>
  <si>
    <t>ARKEL UPS : 1500W + 5PC BATTERY (1V, 9AH)</t>
  </si>
  <si>
    <t>SET BRACKET U</t>
  </si>
  <si>
    <t>SEMI AUTOMATIC PORTE EPOXY 70/80                                                                                                                        ATERYA</t>
  </si>
  <si>
    <t>SEMI AUTOMATIC PORTE PANORAMIQUE 70/80                                                                                                                      ATERYA</t>
  </si>
  <si>
    <t xml:space="preserve">LEAR POMPE </t>
  </si>
  <si>
    <t xml:space="preserve">PORTE CABINE BUS </t>
  </si>
  <si>
    <t>IT.145</t>
  </si>
  <si>
    <t>IT.146</t>
  </si>
  <si>
    <t>Sans det</t>
  </si>
  <si>
    <t>GEARLESS</t>
  </si>
  <si>
    <t>MOTEUR AKİŞ VOLPİ GEARLESS 3.9KW MAX4 240*5*6.5MM 1.0M/S  +ENCODEUR</t>
  </si>
  <si>
    <t>SET STRUCTURE Ext</t>
  </si>
  <si>
    <t>SET STRUCTURE 1300 X 1300 2 ETAGES EP 4MM</t>
  </si>
  <si>
    <t>SET STRUCTURE</t>
  </si>
  <si>
    <t>SET STRUCTURE 1400 X 1400 2 ETAGES EP 4MM</t>
  </si>
  <si>
    <t>SET STRUCTURE 1500 X 1500 2 ETAGES EP 4MM</t>
  </si>
  <si>
    <t>SET STRUCTURE 1600 X 1600 2 ETAGES EP 4MM</t>
  </si>
  <si>
    <t>SET STRUCTURE 1300 X 1300 3 ETAGES EP 4MM</t>
  </si>
  <si>
    <t>SET STRUCTURE 1400 X 1400 3 ETAGES EP 4MM</t>
  </si>
  <si>
    <t>SET STRUCTURE 1500 X 1500 3 ETAGES EP 4MM</t>
  </si>
  <si>
    <t>SET STRUCTURE 1600 X 1600 3 ETAGES EP 4MM</t>
  </si>
  <si>
    <t>SET STRUCTURE 1300 X 1300 4 ETAGES EP 4MM</t>
  </si>
  <si>
    <t>SET STRUCTURE 1400 X 1400 4 ETAGES EP 4MM</t>
  </si>
  <si>
    <t>SET STRUCTURE 1500 X 1500 4 ETAGES EP 4MM</t>
  </si>
  <si>
    <t>SET STRUCTURE 1600 X 1600 4 ETAGES EP 4MM</t>
  </si>
  <si>
    <t>SET STRUCTURE 1300 X 1300 5 ETAGES EP 4MM</t>
  </si>
  <si>
    <t>SET STRUCTURE 1400 X 1400 5 ETAGES EP 4MM</t>
  </si>
  <si>
    <t>SET STRUCTURE 1500 X 1500 5 ETAGES EP 4MM</t>
  </si>
  <si>
    <t>SET STRUCTURE 1600 X 1600 5 ETAGES EP 4MM</t>
  </si>
  <si>
    <t>SET STRUCTURE 1300 X 1300 6 ETAGES EP 4MM</t>
  </si>
  <si>
    <t>SET STRUCTURE 1400 X 1400 6 ETAGES EP 4MM</t>
  </si>
  <si>
    <t>SET STRUCTURE 1500 X 1500 6 ETAGES EP 4MM</t>
  </si>
  <si>
    <t>SET STRUCTURE 1600 X 1600 6 ETAGES EP 4MM</t>
  </si>
  <si>
    <t>SET STRUCTURE 1300 X 1300 7 ETAGES EP 4MM</t>
  </si>
  <si>
    <t>SET STRUCTURE 1400 X 1400 7 ETAGES EP 4MM</t>
  </si>
  <si>
    <t>SET STRUCTURE 1500 X 1500 7 ETAGES EP 4MM</t>
  </si>
  <si>
    <t>SET STRUCTURE 1600 X 1600 7 ETAGES EP 4MM</t>
  </si>
  <si>
    <t>SET STRUCTURE 1300 X 1300 8 ETAGES EP 4MM</t>
  </si>
  <si>
    <t>SET STRUCTURE 1400 X 1400 8 ETAGES EP 4MM</t>
  </si>
  <si>
    <t>SET STRUCTURE 1500 X 1500 8 ETAGES EP 4MM</t>
  </si>
  <si>
    <t>SET STRUCTURE 1600 X 1600 8 ETAGES EP 4MM</t>
  </si>
  <si>
    <t>PANORAMIQUE SET STRUCTURE VERRE TREMPE 8MM BLANC</t>
  </si>
  <si>
    <t>PANORAMIQUE SET STRUCTURE VERRE TREMPE 8MM FUME</t>
  </si>
  <si>
    <t>INST2</t>
  </si>
  <si>
    <t>(2 + 3 + 4) x 275$</t>
  </si>
  <si>
    <t>Adresse : -</t>
  </si>
  <si>
    <t>Devis N° :                 C41v2-1.26</t>
  </si>
  <si>
    <t xml:space="preserve">Ascenseur Complet </t>
  </si>
  <si>
    <t>HYD3</t>
  </si>
  <si>
    <t>HYD4</t>
  </si>
  <si>
    <t>HYDRAULIQUE</t>
  </si>
  <si>
    <t>L</t>
  </si>
  <si>
    <t>SET COMPOSANTES ELECTRIQUES POUR SYSTEME HYDRAULIQUE</t>
  </si>
  <si>
    <t>Client : Eurial Ascenseurs Group</t>
  </si>
  <si>
    <t>Interlocuteur : M. Abderrahim</t>
  </si>
  <si>
    <t>SET ARCADE TYPE L VVVF 2V</t>
  </si>
  <si>
    <t>SET ARCADE TYPE L GEARLESS</t>
  </si>
  <si>
    <t>Devis N° :                  022V2/1.26</t>
  </si>
  <si>
    <t>Adresse : Casablanca</t>
  </si>
  <si>
    <t>EPOXY</t>
  </si>
  <si>
    <t>SET SYSTÈME HYDRAULIQUE MAX4 GMV 0,62M/S 10M COURSE (4 NIVEAUX)</t>
  </si>
  <si>
    <t>HYD2-1</t>
  </si>
  <si>
    <t>HYD2-2</t>
  </si>
  <si>
    <t>SET SYSTÈME HYDRAULIQUE MAX4 GMV 0,62M/S 4M COURSE (2 NIVEAUX)</t>
  </si>
  <si>
    <t>HYD2-3</t>
  </si>
  <si>
    <t>SET SYSTÈME HYDRAULIQUE MAX4 GMV 0,62M/S 7M COURSE (3 NIVEAUX)</t>
  </si>
  <si>
    <t>AUTOMATIQUE</t>
  </si>
  <si>
    <t>FORFAIT INSTALLATION STRUCTURE PANORAMIQUE</t>
  </si>
  <si>
    <t>HUILE HYDRAULIQUE</t>
  </si>
  <si>
    <t>INTERMEDIAIRE</t>
  </si>
  <si>
    <t>Client : Mr Walid</t>
  </si>
  <si>
    <t>NORMAL</t>
  </si>
  <si>
    <t>HYD1-1</t>
  </si>
  <si>
    <t>SET SYSTÈME HYDRAULIQUE MAX4 STANDARD 0,15M/S 10M COURSE (4 NIVEAUX)</t>
  </si>
  <si>
    <t>HYD1-2</t>
  </si>
  <si>
    <t>SET SYSTÈME HYDRAULIQUE MAX4 STANDARD 0,15M/S 7M COURSE (3 NIVEAUX)</t>
  </si>
  <si>
    <t>HYD1-3</t>
  </si>
  <si>
    <t>SET SYSTÈME HYDRAULIQUE MAX4 STANDARD 0,15M/S 4M COURSE (2 NIVEAUX)</t>
  </si>
  <si>
    <t>HABILLAGE OPAQUE EN ALUCOBOND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</si>
</sst>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-* #,##0.00\ _€_-;\-* #,##0.00\ _€_-;_-* &quot;-&quot;??\ _€_-;_-@_-"/>
    <numFmt numFmtId="165" formatCode="_-* #,##0_-;\-* #,##0_-;_-* &quot;-&quot;??_-;_-@_-"/>
    <numFmt numFmtId="166" formatCode="[$-F800]dddd\,\ mmmm\ dd\,\ 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4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u/>
      <sz val="16"/>
      <color theme="1"/>
      <name val="Times New Roman"/>
      <family val="1"/>
    </font>
    <font>
      <b/>
      <sz val="16"/>
      <color theme="1"/>
      <name val="Times New Roman"/>
      <family val="1"/>
    </font>
    <font>
      <b/>
      <sz val="14"/>
      <color theme="1"/>
      <name val="Times New Roman"/>
      <family val="1"/>
    </font>
    <font>
      <b/>
      <sz val="11"/>
      <color theme="1"/>
      <name val="Times New Roman"/>
      <family val="1"/>
    </font>
    <font>
      <b/>
      <u/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0" tint="-0.34998626667073579"/>
      </right>
      <top/>
      <bottom/>
      <diagonal/>
    </border>
    <border>
      <left/>
      <right/>
      <top style="thin">
        <color theme="0" tint="-0.34998626667073579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7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1" fillId="0" borderId="0"/>
  </cellStyleXfs>
  <cellXfs count="123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0" fillId="2" borderId="1" xfId="0" applyFill="1" applyBorder="1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right"/>
    </xf>
    <xf numFmtId="0" fontId="0" fillId="4" borderId="1" xfId="0" applyFill="1" applyBorder="1" applyAlignment="1">
      <alignment vertical="center"/>
    </xf>
    <xf numFmtId="0" fontId="0" fillId="4" borderId="1" xfId="0" applyFill="1" applyBorder="1"/>
    <xf numFmtId="0" fontId="0" fillId="3" borderId="1" xfId="0" applyFill="1" applyBorder="1"/>
    <xf numFmtId="0" fontId="6" fillId="0" borderId="0" xfId="0" applyFont="1" applyAlignment="1">
      <alignment horizontal="right"/>
    </xf>
    <xf numFmtId="0" fontId="3" fillId="5" borderId="1" xfId="0" applyFont="1" applyFill="1" applyBorder="1" applyAlignment="1">
      <alignment vertical="center"/>
    </xf>
    <xf numFmtId="0" fontId="2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164" fontId="0" fillId="0" borderId="2" xfId="0" applyNumberFormat="1" applyBorder="1" applyAlignment="1">
      <alignment vertical="center"/>
    </xf>
    <xf numFmtId="164" fontId="0" fillId="6" borderId="2" xfId="0" applyNumberFormat="1" applyFill="1" applyBorder="1" applyAlignment="1">
      <alignment vertical="center"/>
    </xf>
    <xf numFmtId="0" fontId="0" fillId="0" borderId="2" xfId="0" applyBorder="1" applyAlignment="1">
      <alignment vertical="center"/>
    </xf>
    <xf numFmtId="0" fontId="0" fillId="6" borderId="2" xfId="0" applyFill="1" applyBorder="1" applyAlignment="1">
      <alignment vertical="center"/>
    </xf>
    <xf numFmtId="0" fontId="0" fillId="0" borderId="0" xfId="0" applyAlignment="1">
      <alignment vertical="center"/>
    </xf>
    <xf numFmtId="0" fontId="0" fillId="6" borderId="2" xfId="0" applyFill="1" applyBorder="1" applyAlignment="1">
      <alignment horizontal="center" vertical="center"/>
    </xf>
    <xf numFmtId="0" fontId="0" fillId="7" borderId="2" xfId="0" applyFill="1" applyBorder="1" applyAlignment="1">
      <alignment vertical="center"/>
    </xf>
    <xf numFmtId="0" fontId="0" fillId="7" borderId="0" xfId="0" applyFill="1" applyAlignment="1">
      <alignment vertical="center"/>
    </xf>
    <xf numFmtId="165" fontId="0" fillId="0" borderId="2" xfId="1" applyNumberFormat="1" applyFont="1" applyBorder="1" applyAlignment="1">
      <alignment vertical="center"/>
    </xf>
    <xf numFmtId="164" fontId="0" fillId="0" borderId="2" xfId="0" quotePrefix="1" applyNumberFormat="1" applyBorder="1" applyAlignment="1">
      <alignment vertical="center"/>
    </xf>
    <xf numFmtId="164" fontId="0" fillId="6" borderId="2" xfId="0" quotePrefix="1" applyNumberFormat="1" applyFill="1" applyBorder="1" applyAlignment="1">
      <alignment vertical="center"/>
    </xf>
    <xf numFmtId="0" fontId="0" fillId="6" borderId="2" xfId="0" applyFill="1" applyBorder="1"/>
    <xf numFmtId="0" fontId="0" fillId="0" borderId="2" xfId="0" applyBorder="1"/>
    <xf numFmtId="0" fontId="0" fillId="6" borderId="2" xfId="0" applyFill="1" applyBorder="1" applyAlignment="1">
      <alignment horizontal="center" vertical="center" wrapText="1"/>
    </xf>
    <xf numFmtId="165" fontId="0" fillId="6" borderId="2" xfId="1" applyNumberFormat="1" applyFont="1" applyFill="1" applyBorder="1" applyAlignment="1">
      <alignment vertical="center"/>
    </xf>
    <xf numFmtId="0" fontId="0" fillId="6" borderId="0" xfId="0" applyFill="1"/>
    <xf numFmtId="0" fontId="0" fillId="0" borderId="2" xfId="0" quotePrefix="1" applyBorder="1" applyAlignment="1">
      <alignment horizontal="center" vertical="center" wrapText="1"/>
    </xf>
    <xf numFmtId="164" fontId="0" fillId="8" borderId="2" xfId="0" applyNumberFormat="1" applyFill="1" applyBorder="1" applyAlignment="1">
      <alignment vertical="center"/>
    </xf>
    <xf numFmtId="0" fontId="8" fillId="0" borderId="3" xfId="0" applyFont="1" applyBorder="1" applyAlignment="1">
      <alignment horizontal="left" vertical="center" indent="5"/>
    </xf>
    <xf numFmtId="0" fontId="0" fillId="0" borderId="4" xfId="0" applyBorder="1" applyAlignment="1">
      <alignment horizontal="center"/>
    </xf>
    <xf numFmtId="0" fontId="8" fillId="0" borderId="5" xfId="0" applyFont="1" applyBorder="1" applyAlignment="1">
      <alignment horizontal="left" vertical="center" indent="5"/>
    </xf>
    <xf numFmtId="0" fontId="0" fillId="0" borderId="6" xfId="0" applyBorder="1" applyAlignment="1">
      <alignment horizontal="center"/>
    </xf>
    <xf numFmtId="0" fontId="8" fillId="0" borderId="7" xfId="0" applyFont="1" applyBorder="1" applyAlignment="1">
      <alignment horizontal="left" vertical="center" indent="5"/>
    </xf>
    <xf numFmtId="0" fontId="0" fillId="0" borderId="8" xfId="0" applyBorder="1" applyAlignment="1">
      <alignment horizontal="center"/>
    </xf>
    <xf numFmtId="0" fontId="10" fillId="0" borderId="3" xfId="0" applyFont="1" applyBorder="1" applyAlignment="1">
      <alignment horizontal="left" vertical="center" indent="5"/>
    </xf>
    <xf numFmtId="166" fontId="8" fillId="0" borderId="3" xfId="0" applyNumberFormat="1" applyFont="1" applyBorder="1" applyAlignment="1">
      <alignment horizontal="left" vertical="center" indent="5"/>
    </xf>
    <xf numFmtId="14" fontId="2" fillId="0" borderId="4" xfId="0" applyNumberFormat="1" applyFont="1" applyBorder="1" applyAlignment="1">
      <alignment horizontal="left"/>
    </xf>
    <xf numFmtId="43" fontId="0" fillId="0" borderId="0" xfId="1" applyFont="1"/>
    <xf numFmtId="0" fontId="0" fillId="0" borderId="6" xfId="0" quotePrefix="1" applyBorder="1" applyAlignment="1">
      <alignment horizontal="center"/>
    </xf>
    <xf numFmtId="0" fontId="0" fillId="0" borderId="6" xfId="0" applyBorder="1"/>
    <xf numFmtId="0" fontId="0" fillId="0" borderId="8" xfId="0" quotePrefix="1" applyBorder="1" applyAlignment="1">
      <alignment horizontal="center"/>
    </xf>
    <xf numFmtId="0" fontId="0" fillId="0" borderId="8" xfId="0" applyBorder="1"/>
    <xf numFmtId="0" fontId="9" fillId="0" borderId="9" xfId="0" applyFont="1" applyBorder="1" applyAlignment="1">
      <alignment horizontal="center" vertical="center" wrapText="1"/>
    </xf>
    <xf numFmtId="49" fontId="0" fillId="0" borderId="9" xfId="0" applyNumberFormat="1" applyBorder="1" applyAlignment="1">
      <alignment horizontal="center"/>
    </xf>
    <xf numFmtId="0" fontId="0" fillId="0" borderId="9" xfId="0" applyBorder="1"/>
    <xf numFmtId="0" fontId="0" fillId="0" borderId="9" xfId="0" applyBorder="1" applyAlignment="1">
      <alignment horizontal="center"/>
    </xf>
    <xf numFmtId="43" fontId="0" fillId="0" borderId="9" xfId="1" applyFont="1" applyBorder="1"/>
    <xf numFmtId="164" fontId="0" fillId="0" borderId="0" xfId="0" applyNumberFormat="1"/>
    <xf numFmtId="43" fontId="0" fillId="0" borderId="9" xfId="1" applyFont="1" applyBorder="1" applyAlignment="1"/>
    <xf numFmtId="164" fontId="4" fillId="0" borderId="9" xfId="0" applyNumberFormat="1" applyFont="1" applyBorder="1" applyAlignment="1">
      <alignment vertical="center"/>
    </xf>
    <xf numFmtId="0" fontId="8" fillId="0" borderId="0" xfId="0" applyFont="1" applyAlignment="1">
      <alignment horizontal="left" vertical="center"/>
    </xf>
    <xf numFmtId="0" fontId="8" fillId="0" borderId="10" xfId="0" applyFont="1" applyBorder="1" applyAlignment="1">
      <alignment horizontal="left" vertical="center"/>
    </xf>
    <xf numFmtId="0" fontId="0" fillId="0" borderId="10" xfId="0" applyBorder="1" applyAlignment="1">
      <alignment horizontal="center"/>
    </xf>
    <xf numFmtId="0" fontId="14" fillId="0" borderId="3" xfId="0" applyFont="1" applyBorder="1" applyAlignment="1">
      <alignment horizontal="center"/>
    </xf>
    <xf numFmtId="166" fontId="8" fillId="0" borderId="11" xfId="0" applyNumberFormat="1" applyFont="1" applyBorder="1" applyAlignment="1">
      <alignment horizontal="left" vertical="center" indent="2"/>
    </xf>
    <xf numFmtId="0" fontId="8" fillId="0" borderId="5" xfId="0" applyFont="1" applyBorder="1" applyAlignment="1">
      <alignment horizontal="left" vertical="center"/>
    </xf>
    <xf numFmtId="0" fontId="2" fillId="0" borderId="0" xfId="0" applyFont="1" applyAlignment="1">
      <alignment horizontal="left" indent="2"/>
    </xf>
    <xf numFmtId="0" fontId="8" fillId="0" borderId="0" xfId="0" applyFont="1" applyAlignment="1">
      <alignment horizontal="left" vertical="center" indent="2"/>
    </xf>
    <xf numFmtId="0" fontId="8" fillId="0" borderId="7" xfId="0" applyFont="1" applyBorder="1" applyAlignment="1">
      <alignment horizontal="left" vertical="center"/>
    </xf>
    <xf numFmtId="0" fontId="2" fillId="0" borderId="10" xfId="0" applyFont="1" applyBorder="1" applyAlignment="1">
      <alignment horizontal="left" indent="2"/>
    </xf>
    <xf numFmtId="0" fontId="8" fillId="0" borderId="10" xfId="0" applyFont="1" applyBorder="1" applyAlignment="1">
      <alignment horizontal="left" vertical="center" indent="2"/>
    </xf>
    <xf numFmtId="0" fontId="9" fillId="0" borderId="2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49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43" fontId="0" fillId="0" borderId="0" xfId="1" applyFont="1" applyAlignment="1"/>
    <xf numFmtId="4" fontId="0" fillId="0" borderId="0" xfId="0" applyNumberFormat="1"/>
    <xf numFmtId="164" fontId="11" fillId="0" borderId="15" xfId="0" applyNumberFormat="1" applyFont="1" applyBorder="1" applyAlignment="1">
      <alignment vertical="center" wrapText="1"/>
    </xf>
    <xf numFmtId="0" fontId="2" fillId="0" borderId="0" xfId="0" applyFont="1" applyAlignment="1">
      <alignment wrapText="1"/>
    </xf>
    <xf numFmtId="0" fontId="2" fillId="0" borderId="16" xfId="0" applyFont="1" applyBorder="1" applyAlignment="1">
      <alignment wrapText="1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7" fillId="0" borderId="0" xfId="2" applyAlignment="1">
      <alignment vertical="center"/>
    </xf>
    <xf numFmtId="0" fontId="0" fillId="0" borderId="4" xfId="0" applyBorder="1"/>
    <xf numFmtId="0" fontId="8" fillId="0" borderId="6" xfId="0" applyFont="1" applyBorder="1" applyAlignment="1">
      <alignment horizontal="left" vertical="center"/>
    </xf>
    <xf numFmtId="166" fontId="8" fillId="0" borderId="11" xfId="0" applyNumberFormat="1" applyFont="1" applyBorder="1" applyAlignment="1">
      <alignment vertical="center"/>
    </xf>
    <xf numFmtId="166" fontId="8" fillId="0" borderId="17" xfId="0" applyNumberFormat="1" applyFont="1" applyBorder="1" applyAlignment="1">
      <alignment horizontal="left" vertical="center" indent="1"/>
    </xf>
    <xf numFmtId="0" fontId="8" fillId="0" borderId="18" xfId="0" applyFont="1" applyBorder="1" applyAlignment="1">
      <alignment horizontal="left" vertical="center" indent="1"/>
    </xf>
    <xf numFmtId="0" fontId="8" fillId="0" borderId="19" xfId="0" applyFont="1" applyBorder="1" applyAlignment="1">
      <alignment horizontal="left" vertical="center" indent="1"/>
    </xf>
    <xf numFmtId="0" fontId="8" fillId="0" borderId="5" xfId="0" applyFont="1" applyBorder="1" applyAlignment="1">
      <alignment horizontal="left" vertical="center" indent="14"/>
    </xf>
    <xf numFmtId="0" fontId="8" fillId="0" borderId="7" xfId="0" applyFont="1" applyBorder="1" applyAlignment="1">
      <alignment horizontal="left" vertical="center" indent="14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vertical="center"/>
    </xf>
    <xf numFmtId="0" fontId="0" fillId="0" borderId="2" xfId="0" applyBorder="1" applyAlignment="1">
      <alignment horizontal="left" vertical="center" wrapText="1"/>
    </xf>
    <xf numFmtId="43" fontId="0" fillId="0" borderId="9" xfId="1" applyFont="1" applyFill="1" applyBorder="1"/>
    <xf numFmtId="43" fontId="0" fillId="0" borderId="0" xfId="1" applyFont="1" applyFill="1"/>
    <xf numFmtId="9" fontId="0" fillId="0" borderId="0" xfId="3" applyFont="1"/>
    <xf numFmtId="164" fontId="2" fillId="0" borderId="16" xfId="0" applyNumberFormat="1" applyFont="1" applyBorder="1" applyAlignment="1">
      <alignment wrapText="1"/>
    </xf>
    <xf numFmtId="0" fontId="0" fillId="0" borderId="2" xfId="0" applyBorder="1" applyAlignment="1">
      <alignment horizontal="left" vertical="center" indent="16"/>
    </xf>
    <xf numFmtId="0" fontId="0" fillId="0" borderId="2" xfId="0" applyBorder="1" applyAlignment="1">
      <alignment wrapText="1"/>
    </xf>
    <xf numFmtId="0" fontId="7" fillId="0" borderId="6" xfId="2" applyBorder="1"/>
    <xf numFmtId="164" fontId="0" fillId="9" borderId="2" xfId="0" applyNumberFormat="1" applyFill="1" applyBorder="1" applyAlignment="1">
      <alignment vertical="center"/>
    </xf>
    <xf numFmtId="43" fontId="0" fillId="0" borderId="2" xfId="1" applyFont="1" applyFill="1" applyBorder="1" applyAlignment="1">
      <alignment vertical="center"/>
    </xf>
    <xf numFmtId="0" fontId="0" fillId="2" borderId="2" xfId="0" applyFill="1" applyBorder="1"/>
    <xf numFmtId="0" fontId="0" fillId="0" borderId="2" xfId="0" applyBorder="1" applyAlignment="1">
      <alignment horizontal="left" vertical="center" wrapText="1" indent="15"/>
    </xf>
    <xf numFmtId="0" fontId="0" fillId="0" borderId="2" xfId="0" applyBorder="1" applyAlignment="1">
      <alignment horizontal="left" vertical="center" wrapText="1" indent="19"/>
    </xf>
    <xf numFmtId="0" fontId="0" fillId="0" borderId="2" xfId="0" applyBorder="1" applyAlignment="1">
      <alignment horizontal="left" vertical="center" wrapText="1" indent="22"/>
    </xf>
    <xf numFmtId="0" fontId="0" fillId="0" borderId="20" xfId="0" applyBorder="1" applyAlignment="1">
      <alignment horizontal="center" vertical="center"/>
    </xf>
    <xf numFmtId="43" fontId="0" fillId="0" borderId="2" xfId="1" applyFont="1" applyBorder="1"/>
    <xf numFmtId="165" fontId="0" fillId="0" borderId="2" xfId="1" applyNumberFormat="1" applyFont="1" applyFill="1" applyBorder="1" applyAlignment="1">
      <alignment vertical="center"/>
    </xf>
    <xf numFmtId="14" fontId="0" fillId="0" borderId="0" xfId="0" applyNumberFormat="1"/>
    <xf numFmtId="0" fontId="11" fillId="0" borderId="9" xfId="0" applyFont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7" fillId="0" borderId="0" xfId="2" applyAlignment="1">
      <alignment horizontal="center" vertical="center"/>
    </xf>
    <xf numFmtId="0" fontId="11" fillId="0" borderId="12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164" fontId="4" fillId="0" borderId="13" xfId="0" applyNumberFormat="1" applyFont="1" applyBorder="1" applyAlignment="1">
      <alignment horizontal="center" vertical="center"/>
    </xf>
    <xf numFmtId="164" fontId="4" fillId="0" borderId="14" xfId="0" applyNumberFormat="1" applyFont="1" applyBorder="1" applyAlignment="1">
      <alignment horizontal="center" vertical="center"/>
    </xf>
    <xf numFmtId="0" fontId="2" fillId="0" borderId="11" xfId="0" applyFont="1" applyBorder="1" applyAlignment="1">
      <alignment horizontal="center" wrapText="1"/>
    </xf>
    <xf numFmtId="0" fontId="14" fillId="0" borderId="3" xfId="0" applyFont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2" fillId="0" borderId="0" xfId="0" applyFont="1" applyAlignment="1">
      <alignment horizontal="center" wrapText="1"/>
    </xf>
  </cellXfs>
  <cellStyles count="5">
    <cellStyle name="Lien hypertexte" xfId="2" builtinId="8"/>
    <cellStyle name="Milliers" xfId="1" builtinId="3"/>
    <cellStyle name="Normal" xfId="0" builtinId="0"/>
    <cellStyle name="Normal 2" xfId="4" xr:uid="{814B5E21-3E37-450C-A4B2-9DE3C5C6D344}"/>
    <cellStyle name="Pourcentage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61</xdr:row>
      <xdr:rowOff>0</xdr:rowOff>
    </xdr:from>
    <xdr:ext cx="304800" cy="301240"/>
    <xdr:sp macro="" textlink="">
      <xdr:nvSpPr>
        <xdr:cNvPr id="2" name="AutoShape 1" descr="Asansör Kasnağı | Akış Asansör Motorları">
          <a:extLst>
            <a:ext uri="{FF2B5EF4-FFF2-40B4-BE49-F238E27FC236}">
              <a16:creationId xmlns:a16="http://schemas.microsoft.com/office/drawing/2014/main" id="{F7623EBA-CBCD-4A74-8305-AADA47F965F6}"/>
            </a:ext>
          </a:extLst>
        </xdr:cNvPr>
        <xdr:cNvSpPr>
          <a:spLocks noChangeAspect="1" noChangeArrowheads="1"/>
        </xdr:cNvSpPr>
      </xdr:nvSpPr>
      <xdr:spPr bwMode="auto">
        <a:xfrm>
          <a:off x="419100" y="12792075"/>
          <a:ext cx="304800" cy="301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61</xdr:row>
      <xdr:rowOff>0</xdr:rowOff>
    </xdr:from>
    <xdr:ext cx="304800" cy="301240"/>
    <xdr:sp macro="" textlink="">
      <xdr:nvSpPr>
        <xdr:cNvPr id="3" name="AutoShape 2" descr="Asansör Kasnağı | Akış Asansör Motorları">
          <a:extLst>
            <a:ext uri="{FF2B5EF4-FFF2-40B4-BE49-F238E27FC236}">
              <a16:creationId xmlns:a16="http://schemas.microsoft.com/office/drawing/2014/main" id="{438C9E27-0AF0-4581-91E9-D337AE8A9D40}"/>
            </a:ext>
          </a:extLst>
        </xdr:cNvPr>
        <xdr:cNvSpPr>
          <a:spLocks noChangeAspect="1" noChangeArrowheads="1"/>
        </xdr:cNvSpPr>
      </xdr:nvSpPr>
      <xdr:spPr bwMode="auto">
        <a:xfrm>
          <a:off x="419100" y="12792075"/>
          <a:ext cx="304800" cy="301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2</xdr:col>
      <xdr:colOff>68036</xdr:colOff>
      <xdr:row>1</xdr:row>
      <xdr:rowOff>13608</xdr:rowOff>
    </xdr:from>
    <xdr:to>
      <xdr:col>2</xdr:col>
      <xdr:colOff>1088572</xdr:colOff>
      <xdr:row>1</xdr:row>
      <xdr:rowOff>285750</xdr:rowOff>
    </xdr:to>
    <xdr:sp macro="[0]!ascomplet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57D5AB85-CB57-4AEB-99C9-319D65D62F89}"/>
            </a:ext>
          </a:extLst>
        </xdr:cNvPr>
        <xdr:cNvSpPr/>
      </xdr:nvSpPr>
      <xdr:spPr>
        <a:xfrm>
          <a:off x="5468711" y="213633"/>
          <a:ext cx="1020536" cy="272142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>
              <a:lumMod val="20000"/>
              <a:lumOff val="8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70757</xdr:colOff>
      <xdr:row>2</xdr:row>
      <xdr:rowOff>16329</xdr:rowOff>
    </xdr:from>
    <xdr:to>
      <xdr:col>2</xdr:col>
      <xdr:colOff>1091293</xdr:colOff>
      <xdr:row>2</xdr:row>
      <xdr:rowOff>288471</xdr:rowOff>
    </xdr:to>
    <xdr:sp macro="[0]!gendevis_inst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6AB47727-BCFD-49D8-A9BA-EFDBDD0F7391}"/>
            </a:ext>
          </a:extLst>
        </xdr:cNvPr>
        <xdr:cNvSpPr/>
      </xdr:nvSpPr>
      <xdr:spPr>
        <a:xfrm>
          <a:off x="5471432" y="521154"/>
          <a:ext cx="1020536" cy="272142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1">
              <a:lumMod val="20000"/>
              <a:lumOff val="8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68035</xdr:colOff>
      <xdr:row>3</xdr:row>
      <xdr:rowOff>0</xdr:rowOff>
    </xdr:from>
    <xdr:to>
      <xdr:col>2</xdr:col>
      <xdr:colOff>1088571</xdr:colOff>
      <xdr:row>3</xdr:row>
      <xdr:rowOff>272142</xdr:rowOff>
    </xdr:to>
    <xdr:sp macro="[0]!gendevis_promo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440D5A90-137E-4975-A44E-AD40EE4E9E3D}"/>
            </a:ext>
          </a:extLst>
        </xdr:cNvPr>
        <xdr:cNvSpPr/>
      </xdr:nvSpPr>
      <xdr:spPr>
        <a:xfrm>
          <a:off x="5468710" y="809625"/>
          <a:ext cx="1020536" cy="272142"/>
        </a:xfrm>
        <a:prstGeom prst="roundRect">
          <a:avLst/>
        </a:prstGeom>
        <a:solidFill>
          <a:srgbClr val="0070C0"/>
        </a:solidFill>
        <a:ln>
          <a:solidFill>
            <a:schemeClr val="accent1">
              <a:lumMod val="20000"/>
              <a:lumOff val="8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235773</xdr:colOff>
      <xdr:row>61</xdr:row>
      <xdr:rowOff>174948</xdr:rowOff>
    </xdr:from>
    <xdr:to>
      <xdr:col>1</xdr:col>
      <xdr:colOff>1800238</xdr:colOff>
      <xdr:row>68</xdr:row>
      <xdr:rowOff>38234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B47A7E9-FC72-4C3F-A41E-8401338674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alphaModFix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4135" b="98496" l="1915" r="96809">
                      <a14:foregroundMark x1="25957" y1="93233" x2="10000" y2="35338"/>
                      <a14:foregroundMark x1="10000" y1="35338" x2="31489" y2="72932"/>
                      <a14:foregroundMark x1="31489" y1="72932" x2="56809" y2="46992"/>
                      <a14:foregroundMark x1="56809" y1="46992" x2="93191" y2="44361"/>
                      <a14:foregroundMark x1="93191" y1="44361" x2="15957" y2="10150"/>
                      <a14:foregroundMark x1="1915" y1="48120" x2="5745" y2="65038"/>
                      <a14:foregroundMark x1="11915" y1="95865" x2="17447" y2="99248"/>
                      <a14:foregroundMark x1="42313" y1="14188" x2="24468" y2="13910"/>
                      <a14:foregroundMark x1="96809" y1="15038" x2="64835" y2="14539"/>
                      <a14:foregroundMark x1="13617" y1="11654" x2="25957" y2="4135"/>
                      <a14:backgroundMark x1="43191" y1="11654" x2="77660" y2="7895"/>
                      <a14:backgroundMark x1="77660" y1="7895" x2="85957" y2="7895"/>
                      <a14:backgroundMark x1="32979" y1="5263" x2="38511" y2="526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773" y="12617924"/>
          <a:ext cx="1942441" cy="1239120"/>
        </a:xfrm>
        <a:prstGeom prst="snip1Rect">
          <a:avLst>
            <a:gd name="adj" fmla="val 0"/>
          </a:avLst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496985</xdr:colOff>
      <xdr:row>0</xdr:row>
      <xdr:rowOff>0</xdr:rowOff>
    </xdr:from>
    <xdr:to>
      <xdr:col>5</xdr:col>
      <xdr:colOff>751518</xdr:colOff>
      <xdr:row>4</xdr:row>
      <xdr:rowOff>76005</xdr:rowOff>
    </xdr:to>
    <xdr:pic>
      <xdr:nvPicPr>
        <xdr:cNvPr id="3" name="Image 2" descr="Une image contenant Police, Graphique, logo, symbole&#10;&#10;Le contenu généré par l’IA peut être incorrect.">
          <a:extLst>
            <a:ext uri="{FF2B5EF4-FFF2-40B4-BE49-F238E27FC236}">
              <a16:creationId xmlns:a16="http://schemas.microsoft.com/office/drawing/2014/main" id="{14D872A4-2419-4568-A48C-1C92F845BF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73710" y="0"/>
          <a:ext cx="2630643" cy="87610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7</xdr:col>
      <xdr:colOff>752712</xdr:colOff>
      <xdr:row>23</xdr:row>
      <xdr:rowOff>156067</xdr:rowOff>
    </xdr:from>
    <xdr:to>
      <xdr:col>16</xdr:col>
      <xdr:colOff>455066</xdr:colOff>
      <xdr:row>35</xdr:row>
      <xdr:rowOff>143903</xdr:rowOff>
    </xdr:to>
    <xdr:pic>
      <xdr:nvPicPr>
        <xdr:cNvPr id="4" name="Image 3" descr="Une image contenant Police, Graphique, logo, symbole&#10;&#10;Le contenu généré par l’IA peut être incorrect.">
          <a:extLst>
            <a:ext uri="{FF2B5EF4-FFF2-40B4-BE49-F238E27FC236}">
              <a16:creationId xmlns:a16="http://schemas.microsoft.com/office/drawing/2014/main" id="{0F06BC39-E21D-41D5-9AFB-748CE6B4F1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lum bright="70000" contrast="-70000"/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2474" y="5024400"/>
          <a:ext cx="6505925" cy="2346408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63</xdr:row>
      <xdr:rowOff>87474</xdr:rowOff>
    </xdr:from>
    <xdr:to>
      <xdr:col>1</xdr:col>
      <xdr:colOff>1370434</xdr:colOff>
      <xdr:row>68</xdr:row>
      <xdr:rowOff>174949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DE18E68-A52A-4410-ABFC-9DBFAA9114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489024"/>
          <a:ext cx="2199109" cy="1039975"/>
        </a:xfrm>
        <a:prstGeom prst="snip1Rect">
          <a:avLst>
            <a:gd name="adj" fmla="val 11457"/>
          </a:avLst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2644967</xdr:colOff>
      <xdr:row>0</xdr:row>
      <xdr:rowOff>9719</xdr:rowOff>
    </xdr:from>
    <xdr:to>
      <xdr:col>3</xdr:col>
      <xdr:colOff>1338014</xdr:colOff>
      <xdr:row>4</xdr:row>
      <xdr:rowOff>204106</xdr:rowOff>
    </xdr:to>
    <xdr:pic>
      <xdr:nvPicPr>
        <xdr:cNvPr id="3" name="Image 2" descr="Une image contenant Police, Graphique, logo, symbole&#10;&#10;Le contenu généré par l’IA peut être incorrect.">
          <a:extLst>
            <a:ext uri="{FF2B5EF4-FFF2-40B4-BE49-F238E27FC236}">
              <a16:creationId xmlns:a16="http://schemas.microsoft.com/office/drawing/2014/main" id="{F8E47436-3D98-4A5C-893C-85E4966BD4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75003" y="9719"/>
          <a:ext cx="2952082" cy="997208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212951</xdr:colOff>
      <xdr:row>20</xdr:row>
      <xdr:rowOff>15015</xdr:rowOff>
    </xdr:from>
    <xdr:to>
      <xdr:col>3</xdr:col>
      <xdr:colOff>1631186</xdr:colOff>
      <xdr:row>32</xdr:row>
      <xdr:rowOff>2851</xdr:rowOff>
    </xdr:to>
    <xdr:pic>
      <xdr:nvPicPr>
        <xdr:cNvPr id="4" name="Image 3" descr="Une image contenant Police, Graphique, logo, symbole&#10;&#10;Le contenu généré par l’IA peut être incorrect.">
          <a:extLst>
            <a:ext uri="{FF2B5EF4-FFF2-40B4-BE49-F238E27FC236}">
              <a16:creationId xmlns:a16="http://schemas.microsoft.com/office/drawing/2014/main" id="{D5C3B20E-AA76-46E0-8E35-91D560E70D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lum bright="70000" contrast="-70000"/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951" y="4219622"/>
          <a:ext cx="6507306" cy="2273836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64</xdr:row>
      <xdr:rowOff>87474</xdr:rowOff>
    </xdr:from>
    <xdr:to>
      <xdr:col>1</xdr:col>
      <xdr:colOff>1370434</xdr:colOff>
      <xdr:row>69</xdr:row>
      <xdr:rowOff>174949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65C2F32C-22B0-4C89-86F9-C7EB106CDA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679524"/>
          <a:ext cx="2199109" cy="1039975"/>
        </a:xfrm>
        <a:prstGeom prst="snip1Rect">
          <a:avLst>
            <a:gd name="adj" fmla="val 11457"/>
          </a:avLst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3053181</xdr:colOff>
      <xdr:row>0</xdr:row>
      <xdr:rowOff>0</xdr:rowOff>
    </xdr:from>
    <xdr:to>
      <xdr:col>3</xdr:col>
      <xdr:colOff>1422378</xdr:colOff>
      <xdr:row>4</xdr:row>
      <xdr:rowOff>194387</xdr:rowOff>
    </xdr:to>
    <xdr:pic>
      <xdr:nvPicPr>
        <xdr:cNvPr id="3" name="Image 2" descr="Une image contenant Police, Graphique, logo, symbole&#10;&#10;Le contenu généré par l’IA peut être incorrect.">
          <a:extLst>
            <a:ext uri="{FF2B5EF4-FFF2-40B4-BE49-F238E27FC236}">
              <a16:creationId xmlns:a16="http://schemas.microsoft.com/office/drawing/2014/main" id="{7EE0985B-EC5D-4458-A33D-76DEFFCC24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9329" y="0"/>
          <a:ext cx="2947029" cy="1001096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388776</xdr:colOff>
      <xdr:row>19</xdr:row>
      <xdr:rowOff>163626</xdr:rowOff>
    </xdr:from>
    <xdr:to>
      <xdr:col>3</xdr:col>
      <xdr:colOff>1483161</xdr:colOff>
      <xdr:row>31</xdr:row>
      <xdr:rowOff>151462</xdr:rowOff>
    </xdr:to>
    <xdr:pic>
      <xdr:nvPicPr>
        <xdr:cNvPr id="4" name="Image 3" descr="Une image contenant Police, Graphique, logo, symbole&#10;&#10;Le contenu généré par l’IA peut être incorrect.">
          <a:extLst>
            <a:ext uri="{FF2B5EF4-FFF2-40B4-BE49-F238E27FC236}">
              <a16:creationId xmlns:a16="http://schemas.microsoft.com/office/drawing/2014/main" id="{9E3793AA-DD4D-438C-BF21-61C1103997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lum bright="70000" contrast="-70000"/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776" y="4226330"/>
          <a:ext cx="6498365" cy="2320489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info@orderlift.net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info@orderlift.n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mailto:info@orderlift.net" TargetMode="External"/><Relationship Id="rId1" Type="http://schemas.openxmlformats.org/officeDocument/2006/relationships/hyperlink" Target="mailto:info@orderlift.net" TargetMode="External"/><Relationship Id="rId4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82558-A8CC-4C09-9D04-28B53DE9612C}">
  <sheetPr codeName="Feuil1"/>
  <dimension ref="A1:AC233"/>
  <sheetViews>
    <sheetView tabSelected="1" view="pageBreakPreview" zoomScale="80" zoomScaleNormal="100" zoomScaleSheetLayoutView="80" workbookViewId="0">
      <pane xSplit="2" ySplit="10" topLeftCell="C159" activePane="bottomRight" state="frozen"/>
      <selection activeCell="G3" sqref="G3"/>
      <selection pane="topRight" activeCell="G3" sqref="G3"/>
      <selection pane="bottomLeft" activeCell="G3" sqref="G3"/>
      <selection pane="bottomRight" activeCell="H166" sqref="H166"/>
    </sheetView>
  </sheetViews>
  <sheetFormatPr baseColWidth="10" defaultColWidth="9.140625" defaultRowHeight="15" x14ac:dyDescent="0.25"/>
  <cols>
    <col min="1" max="1" width="6.28515625" style="1" customWidth="1"/>
    <col min="2" max="2" width="89.42578125" style="1" customWidth="1"/>
    <col min="3" max="4" width="17.7109375" style="1" customWidth="1"/>
    <col min="5" max="5" width="15.5703125" style="1" customWidth="1"/>
    <col min="6" max="8" width="15.7109375" customWidth="1"/>
    <col min="9" max="9" width="21.7109375" customWidth="1"/>
    <col min="10" max="10" width="17.42578125" customWidth="1"/>
    <col min="11" max="11" width="17.5703125" customWidth="1"/>
    <col min="12" max="13" width="19" customWidth="1"/>
    <col min="14" max="14" width="19.28515625" customWidth="1"/>
    <col min="15" max="15" width="20" customWidth="1"/>
    <col min="16" max="17" width="20.140625" customWidth="1"/>
    <col min="18" max="18" width="24.42578125" customWidth="1"/>
    <col min="19" max="29" width="24.85546875" customWidth="1"/>
  </cols>
  <sheetData>
    <row r="1" spans="1:29" ht="15.75" thickBot="1" x14ac:dyDescent="0.3">
      <c r="D1"/>
      <c r="E1" t="s">
        <v>0</v>
      </c>
      <c r="F1" s="1" t="s">
        <v>1</v>
      </c>
      <c r="G1" s="1" t="s">
        <v>2</v>
      </c>
      <c r="H1" s="1" t="s">
        <v>3</v>
      </c>
      <c r="I1" s="1" t="s">
        <v>4</v>
      </c>
      <c r="J1" s="1" t="s">
        <v>5</v>
      </c>
      <c r="K1" s="1" t="s">
        <v>6</v>
      </c>
      <c r="L1" s="1" t="s">
        <v>7</v>
      </c>
      <c r="M1" s="1" t="s">
        <v>8</v>
      </c>
      <c r="N1" s="1" t="s">
        <v>9</v>
      </c>
      <c r="O1" s="1" t="s">
        <v>438</v>
      </c>
      <c r="P1" s="1" t="s">
        <v>453</v>
      </c>
    </row>
    <row r="2" spans="1:29" ht="24" thickBot="1" x14ac:dyDescent="0.4">
      <c r="B2" s="2" t="s">
        <v>10</v>
      </c>
      <c r="D2" s="3" t="s">
        <v>11</v>
      </c>
      <c r="E2" s="3" t="s">
        <v>513</v>
      </c>
      <c r="F2" s="4" t="s">
        <v>12</v>
      </c>
      <c r="G2" s="4">
        <v>4</v>
      </c>
      <c r="H2" s="4">
        <v>4</v>
      </c>
      <c r="I2" s="4" t="s">
        <v>440</v>
      </c>
      <c r="J2" s="4" t="s">
        <v>13</v>
      </c>
      <c r="K2" s="4" t="s">
        <v>501</v>
      </c>
      <c r="L2" s="4" t="s">
        <v>508</v>
      </c>
      <c r="M2" s="4">
        <v>70</v>
      </c>
      <c r="N2" s="5" t="str">
        <f>+IF(G2&lt;5,"MAX4",IF(G2&lt;7,"MAX6",IF(G2&lt;9,"MAX8","MAX10")))</f>
        <v>MAX4</v>
      </c>
      <c r="O2" s="5" t="s">
        <v>439</v>
      </c>
      <c r="P2" s="5" t="s">
        <v>439</v>
      </c>
      <c r="R2" s="6" t="s">
        <v>14</v>
      </c>
    </row>
    <row r="3" spans="1:29" ht="24" thickBot="1" x14ac:dyDescent="0.4">
      <c r="B3" s="7" t="s">
        <v>396</v>
      </c>
      <c r="C3" s="2"/>
      <c r="D3" s="8" t="s">
        <v>15</v>
      </c>
      <c r="E3" s="8" t="s">
        <v>16</v>
      </c>
      <c r="F3" s="9" t="s">
        <v>17</v>
      </c>
      <c r="G3" s="9" t="s">
        <v>450</v>
      </c>
      <c r="H3" s="10"/>
      <c r="I3" s="10"/>
      <c r="J3" s="10"/>
      <c r="K3" s="10"/>
      <c r="L3" s="10"/>
      <c r="M3" s="10"/>
      <c r="N3" s="10"/>
      <c r="O3" s="10"/>
      <c r="P3" s="10"/>
      <c r="W3" s="109">
        <v>46016</v>
      </c>
      <c r="X3" s="109">
        <f>+W3+7*7</f>
        <v>46065</v>
      </c>
    </row>
    <row r="4" spans="1:29" ht="24" thickBot="1" x14ac:dyDescent="0.4">
      <c r="B4" s="11" t="s">
        <v>395</v>
      </c>
      <c r="C4" s="2"/>
      <c r="D4" s="12" t="s">
        <v>18</v>
      </c>
      <c r="E4" s="12" t="s">
        <v>16</v>
      </c>
      <c r="F4" s="12" t="s">
        <v>511</v>
      </c>
      <c r="G4" s="10"/>
      <c r="H4" s="10"/>
      <c r="I4" s="10"/>
      <c r="J4" s="10"/>
      <c r="K4" s="10"/>
      <c r="L4" s="10"/>
      <c r="M4" s="10"/>
      <c r="N4" s="10"/>
      <c r="O4" s="10"/>
      <c r="P4" s="10"/>
      <c r="X4" s="109">
        <f>+X3-3*7</f>
        <v>46044</v>
      </c>
    </row>
    <row r="5" spans="1:29" x14ac:dyDescent="0.25">
      <c r="D5"/>
      <c r="E5"/>
      <c r="G5" t="s">
        <v>19</v>
      </c>
      <c r="I5" t="s">
        <v>20</v>
      </c>
    </row>
    <row r="10" spans="1:29" s="15" customFormat="1" ht="30" customHeight="1" x14ac:dyDescent="0.25">
      <c r="A10" s="13" t="s">
        <v>21</v>
      </c>
      <c r="B10" s="13" t="s">
        <v>22</v>
      </c>
      <c r="C10" s="13" t="s">
        <v>23</v>
      </c>
      <c r="D10" s="13" t="s">
        <v>24</v>
      </c>
      <c r="E10" s="13" t="s">
        <v>25</v>
      </c>
      <c r="F10" s="13" t="s">
        <v>26</v>
      </c>
      <c r="G10" s="13" t="s">
        <v>27</v>
      </c>
      <c r="H10" s="13" t="s">
        <v>28</v>
      </c>
      <c r="I10" s="13" t="s">
        <v>29</v>
      </c>
      <c r="J10" s="13" t="s">
        <v>30</v>
      </c>
      <c r="K10" s="13" t="s">
        <v>312</v>
      </c>
      <c r="L10" s="13"/>
      <c r="M10" s="13"/>
      <c r="N10" s="13"/>
      <c r="O10" s="13"/>
      <c r="P10" s="13"/>
      <c r="Q10" s="13"/>
      <c r="R10" s="13" t="s">
        <v>31</v>
      </c>
      <c r="S10" s="14" t="s">
        <v>32</v>
      </c>
      <c r="T10" s="14" t="s">
        <v>33</v>
      </c>
      <c r="U10" s="14" t="s">
        <v>34</v>
      </c>
      <c r="V10" s="14" t="s">
        <v>35</v>
      </c>
      <c r="W10" s="14" t="s">
        <v>36</v>
      </c>
      <c r="X10" s="14" t="s">
        <v>37</v>
      </c>
      <c r="Y10" s="14" t="s">
        <v>38</v>
      </c>
      <c r="Z10" s="14" t="s">
        <v>39</v>
      </c>
      <c r="AA10" s="14" t="s">
        <v>40</v>
      </c>
      <c r="AB10" s="14" t="s">
        <v>41</v>
      </c>
      <c r="AC10" s="14" t="s">
        <v>42</v>
      </c>
    </row>
    <row r="11" spans="1:29" s="22" customFormat="1" ht="22.5" customHeight="1" x14ac:dyDescent="0.25">
      <c r="A11" s="16" t="s">
        <v>43</v>
      </c>
      <c r="B11" s="17" t="s">
        <v>44</v>
      </c>
      <c r="C11" s="17" t="s">
        <v>36</v>
      </c>
      <c r="D11" s="17" t="s">
        <v>45</v>
      </c>
      <c r="E11" s="17">
        <v>650</v>
      </c>
      <c r="F11" s="18">
        <v>25059.15465</v>
      </c>
      <c r="G11" s="18">
        <v>25786.65465</v>
      </c>
      <c r="H11" s="18">
        <v>29238.976799999997</v>
      </c>
      <c r="I11" s="19"/>
      <c r="J11" s="18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</row>
    <row r="12" spans="1:29" s="22" customFormat="1" ht="21" customHeight="1" x14ac:dyDescent="0.25">
      <c r="A12" s="16" t="s">
        <v>46</v>
      </c>
      <c r="B12" s="17" t="s">
        <v>357</v>
      </c>
      <c r="C12" s="17" t="s">
        <v>36</v>
      </c>
      <c r="D12" s="17" t="s">
        <v>61</v>
      </c>
      <c r="E12" s="17">
        <v>350</v>
      </c>
      <c r="F12" s="18">
        <v>15368.348223499997</v>
      </c>
      <c r="G12" s="18">
        <v>15829.098223499997</v>
      </c>
      <c r="H12" s="18">
        <v>18012.619197</v>
      </c>
      <c r="I12" s="23">
        <v>1</v>
      </c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</row>
    <row r="13" spans="1:29" s="25" customFormat="1" ht="21" customHeight="1" x14ac:dyDescent="0.25">
      <c r="A13" s="16" t="s">
        <v>47</v>
      </c>
      <c r="B13" s="17" t="s">
        <v>358</v>
      </c>
      <c r="C13" s="17" t="s">
        <v>36</v>
      </c>
      <c r="D13" s="17" t="s">
        <v>61</v>
      </c>
      <c r="E13" s="17">
        <v>350</v>
      </c>
      <c r="F13" s="18">
        <v>18668.291376000001</v>
      </c>
      <c r="G13" s="18">
        <v>19250.291376000001</v>
      </c>
      <c r="H13" s="18">
        <v>22010.116752000002</v>
      </c>
      <c r="I13" s="23"/>
      <c r="J13" s="24"/>
      <c r="K13" s="24"/>
      <c r="L13" s="24"/>
      <c r="M13" s="24"/>
      <c r="N13" s="24"/>
      <c r="O13" s="24"/>
      <c r="P13" s="24"/>
      <c r="Q13" s="24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</row>
    <row r="14" spans="1:29" s="22" customFormat="1" ht="21" customHeight="1" x14ac:dyDescent="0.25">
      <c r="A14" s="16" t="s">
        <v>48</v>
      </c>
      <c r="B14" s="17" t="s">
        <v>49</v>
      </c>
      <c r="C14" s="17" t="s">
        <v>36</v>
      </c>
      <c r="D14" s="17" t="s">
        <v>61</v>
      </c>
      <c r="E14" s="17">
        <v>350</v>
      </c>
      <c r="F14" s="18">
        <v>16292.261174159999</v>
      </c>
      <c r="G14" s="18">
        <v>16786.961174160002</v>
      </c>
      <c r="H14" s="18">
        <v>19131.776248319999</v>
      </c>
      <c r="I14" s="23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</row>
    <row r="15" spans="1:29" s="22" customFormat="1" ht="21" customHeight="1" x14ac:dyDescent="0.25">
      <c r="A15" s="16" t="s">
        <v>50</v>
      </c>
      <c r="B15" s="17" t="s">
        <v>51</v>
      </c>
      <c r="C15" s="17" t="s">
        <v>36</v>
      </c>
      <c r="D15" s="17" t="s">
        <v>61</v>
      </c>
      <c r="E15" s="17">
        <v>350</v>
      </c>
      <c r="F15" s="18">
        <v>20252.514744959997</v>
      </c>
      <c r="G15" s="18">
        <v>20892.714744959998</v>
      </c>
      <c r="H15" s="18">
        <v>23929.416889919994</v>
      </c>
      <c r="I15" s="23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</row>
    <row r="16" spans="1:29" s="22" customFormat="1" ht="21" customHeight="1" x14ac:dyDescent="0.25">
      <c r="A16" s="16" t="s">
        <v>52</v>
      </c>
      <c r="B16" s="17" t="s">
        <v>359</v>
      </c>
      <c r="C16" s="17" t="s">
        <v>36</v>
      </c>
      <c r="D16" s="17" t="s">
        <v>61</v>
      </c>
      <c r="E16" s="17">
        <v>350</v>
      </c>
      <c r="F16" s="18">
        <v>17216.22944974</v>
      </c>
      <c r="G16" s="18">
        <v>17744.879449740001</v>
      </c>
      <c r="H16" s="18">
        <v>20251.043949480001</v>
      </c>
      <c r="I16" s="23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</row>
    <row r="17" spans="1:29" s="22" customFormat="1" ht="21" customHeight="1" x14ac:dyDescent="0.25">
      <c r="A17" s="16" t="s">
        <v>53</v>
      </c>
      <c r="B17" s="17" t="s">
        <v>360</v>
      </c>
      <c r="C17" s="17" t="s">
        <v>36</v>
      </c>
      <c r="D17" s="17" t="s">
        <v>61</v>
      </c>
      <c r="E17" s="17">
        <v>350</v>
      </c>
      <c r="F17" s="18">
        <v>21176.720127339995</v>
      </c>
      <c r="G17" s="18">
        <v>21850.870127339997</v>
      </c>
      <c r="H17" s="18">
        <v>25049.158804679995</v>
      </c>
      <c r="I17" s="23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</row>
    <row r="18" spans="1:29" x14ac:dyDescent="0.25">
      <c r="A18" s="16" t="s">
        <v>306</v>
      </c>
      <c r="B18" s="17" t="s">
        <v>288</v>
      </c>
      <c r="C18" s="17" t="s">
        <v>36</v>
      </c>
      <c r="D18" s="90" t="s">
        <v>45</v>
      </c>
      <c r="E18" s="17">
        <v>350</v>
      </c>
      <c r="F18" s="18">
        <v>20313.662780239996</v>
      </c>
      <c r="G18" s="18">
        <v>20963.562780239998</v>
      </c>
      <c r="H18" s="18">
        <v>24046.426860479995</v>
      </c>
      <c r="I18" s="23"/>
      <c r="J18" s="30"/>
      <c r="K18" s="30"/>
      <c r="L18" s="30"/>
      <c r="M18" s="30"/>
      <c r="N18" s="30"/>
      <c r="O18" s="30"/>
      <c r="P18" s="30"/>
      <c r="Q18" s="30"/>
      <c r="R18" s="108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</row>
    <row r="19" spans="1:29" x14ac:dyDescent="0.25">
      <c r="A19" s="16" t="s">
        <v>307</v>
      </c>
      <c r="B19" s="17" t="s">
        <v>291</v>
      </c>
      <c r="C19" s="17" t="s">
        <v>36</v>
      </c>
      <c r="D19" s="90" t="s">
        <v>45</v>
      </c>
      <c r="E19" s="17">
        <v>350</v>
      </c>
      <c r="F19" s="18">
        <v>26381.371913039995</v>
      </c>
      <c r="G19" s="18">
        <v>27225.271913039996</v>
      </c>
      <c r="H19" s="18">
        <v>31232.323126079998</v>
      </c>
      <c r="I19" s="23"/>
      <c r="J19" s="30"/>
      <c r="K19" s="30"/>
      <c r="L19" s="30"/>
      <c r="M19" s="30"/>
      <c r="N19" s="30"/>
      <c r="O19" s="30"/>
      <c r="P19" s="30"/>
      <c r="Q19" s="30"/>
      <c r="R19" s="108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</row>
    <row r="20" spans="1:29" s="22" customFormat="1" ht="21" customHeight="1" x14ac:dyDescent="0.25">
      <c r="A20" s="16" t="s">
        <v>367</v>
      </c>
      <c r="B20" s="17" t="s">
        <v>399</v>
      </c>
      <c r="C20" s="17" t="s">
        <v>36</v>
      </c>
      <c r="D20" s="17" t="s">
        <v>61</v>
      </c>
      <c r="E20" s="17">
        <v>350</v>
      </c>
      <c r="F20" s="18">
        <v>24257.468224</v>
      </c>
      <c r="G20" s="18">
        <v>25033.468224</v>
      </c>
      <c r="H20" s="18">
        <v>28716.848447999997</v>
      </c>
      <c r="I20" s="23"/>
      <c r="J20" s="20"/>
      <c r="K20" s="20" t="s">
        <v>64</v>
      </c>
      <c r="L20" s="20"/>
      <c r="M20" s="20"/>
      <c r="N20" s="20"/>
      <c r="O20" s="20"/>
      <c r="P20" s="20"/>
      <c r="Q20" s="20"/>
      <c r="R20" s="108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</row>
    <row r="21" spans="1:29" s="22" customFormat="1" ht="21" customHeight="1" x14ac:dyDescent="0.25">
      <c r="A21" s="16" t="s">
        <v>368</v>
      </c>
      <c r="B21" s="17" t="s">
        <v>400</v>
      </c>
      <c r="C21" s="17" t="s">
        <v>36</v>
      </c>
      <c r="D21" s="17" t="s">
        <v>61</v>
      </c>
      <c r="E21" s="17">
        <v>350</v>
      </c>
      <c r="F21" s="18">
        <v>25774.519705999999</v>
      </c>
      <c r="G21" s="18">
        <v>26599.019705999999</v>
      </c>
      <c r="H21" s="18">
        <v>30513.570911999999</v>
      </c>
      <c r="I21" s="23"/>
      <c r="J21" s="20"/>
      <c r="K21" s="20" t="s">
        <v>64</v>
      </c>
      <c r="L21" s="20"/>
      <c r="M21" s="20"/>
      <c r="N21" s="20"/>
      <c r="O21" s="20"/>
      <c r="P21" s="20"/>
      <c r="Q21" s="20"/>
      <c r="R21" s="108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</row>
    <row r="22" spans="1:29" s="22" customFormat="1" ht="21" customHeight="1" x14ac:dyDescent="0.25">
      <c r="A22" s="16" t="s">
        <v>369</v>
      </c>
      <c r="B22" s="97" t="s">
        <v>401</v>
      </c>
      <c r="C22" s="17" t="s">
        <v>36</v>
      </c>
      <c r="D22" s="17" t="s">
        <v>61</v>
      </c>
      <c r="E22" s="17">
        <v>350</v>
      </c>
      <c r="F22" s="18">
        <v>28050.3086315</v>
      </c>
      <c r="G22" s="18">
        <v>28947.5586315</v>
      </c>
      <c r="H22" s="18">
        <v>33209.078012999998</v>
      </c>
      <c r="I22" s="23"/>
      <c r="J22" s="20" t="s">
        <v>64</v>
      </c>
      <c r="K22" s="20" t="s">
        <v>64</v>
      </c>
      <c r="L22" s="20"/>
      <c r="M22" s="20"/>
      <c r="N22" s="20"/>
      <c r="O22" s="20"/>
      <c r="P22" s="20"/>
      <c r="Q22" s="20"/>
      <c r="R22" s="108"/>
      <c r="S22" s="20"/>
      <c r="T22" s="20"/>
      <c r="U22" s="20"/>
      <c r="V22" s="20"/>
      <c r="W22" s="30"/>
      <c r="X22" s="30"/>
      <c r="Y22" s="30"/>
      <c r="Z22" s="30"/>
      <c r="AA22" s="30"/>
      <c r="AB22" s="30"/>
      <c r="AC22" s="30"/>
    </row>
    <row r="23" spans="1:29" s="22" customFormat="1" ht="21" customHeight="1" x14ac:dyDescent="0.25">
      <c r="A23" s="16" t="s">
        <v>370</v>
      </c>
      <c r="B23" s="17" t="s">
        <v>402</v>
      </c>
      <c r="C23" s="17" t="s">
        <v>36</v>
      </c>
      <c r="D23" s="17" t="s">
        <v>61</v>
      </c>
      <c r="E23" s="17">
        <v>350</v>
      </c>
      <c r="F23" s="18">
        <v>18140.25305024</v>
      </c>
      <c r="G23" s="18">
        <v>18702.853050239999</v>
      </c>
      <c r="H23" s="18">
        <v>21370.422300480001</v>
      </c>
      <c r="I23" s="23"/>
      <c r="J23" s="20" t="s">
        <v>64</v>
      </c>
      <c r="K23" s="20" t="s">
        <v>64</v>
      </c>
      <c r="L23" s="20"/>
      <c r="M23" s="20"/>
      <c r="N23" s="20"/>
      <c r="O23" s="20"/>
      <c r="P23" s="20"/>
      <c r="Q23" s="20"/>
      <c r="R23" s="108"/>
      <c r="S23" s="20"/>
      <c r="T23" s="20"/>
      <c r="U23" s="20"/>
      <c r="V23" s="20"/>
      <c r="W23" s="30"/>
      <c r="X23" s="30"/>
      <c r="Y23" s="30"/>
      <c r="Z23" s="30"/>
      <c r="AA23" s="30"/>
      <c r="AB23" s="30"/>
      <c r="AC23" s="30"/>
    </row>
    <row r="24" spans="1:29" s="22" customFormat="1" ht="21" customHeight="1" x14ac:dyDescent="0.25">
      <c r="A24" s="16" t="s">
        <v>371</v>
      </c>
      <c r="B24" s="17" t="s">
        <v>403</v>
      </c>
      <c r="C24" s="17" t="s">
        <v>36</v>
      </c>
      <c r="D24" s="17" t="s">
        <v>61</v>
      </c>
      <c r="E24" s="17">
        <v>350</v>
      </c>
      <c r="F24" s="27">
        <v>22133.785834639999</v>
      </c>
      <c r="G24" s="27">
        <v>22841.885834639997</v>
      </c>
      <c r="H24" s="27">
        <v>26201.816369279997</v>
      </c>
      <c r="I24" s="23"/>
      <c r="J24" s="20" t="s">
        <v>64</v>
      </c>
      <c r="K24" s="20" t="s">
        <v>64</v>
      </c>
      <c r="L24" s="20"/>
      <c r="M24" s="20"/>
      <c r="N24" s="20"/>
      <c r="O24" s="20"/>
      <c r="P24" s="20"/>
      <c r="Q24" s="20"/>
      <c r="R24" s="108"/>
      <c r="S24" s="20"/>
      <c r="T24" s="20"/>
      <c r="U24" s="20"/>
      <c r="V24" s="20"/>
      <c r="W24" s="30"/>
      <c r="X24" s="30"/>
      <c r="Y24" s="30"/>
      <c r="Z24" s="30"/>
      <c r="AA24" s="30"/>
      <c r="AB24" s="30"/>
      <c r="AC24" s="30"/>
    </row>
    <row r="25" spans="1:29" s="22" customFormat="1" ht="21" customHeight="1" x14ac:dyDescent="0.25">
      <c r="A25" s="16" t="s">
        <v>372</v>
      </c>
      <c r="B25" s="17" t="s">
        <v>404</v>
      </c>
      <c r="C25" s="17" t="s">
        <v>36</v>
      </c>
      <c r="D25" s="17" t="s">
        <v>61</v>
      </c>
      <c r="E25" s="17">
        <v>350</v>
      </c>
      <c r="F25" s="18">
        <v>31085.089043500004</v>
      </c>
      <c r="G25" s="18">
        <v>32079.339043500004</v>
      </c>
      <c r="H25" s="18">
        <v>36803.877837</v>
      </c>
      <c r="I25" s="23"/>
      <c r="J25" s="20" t="s">
        <v>64</v>
      </c>
      <c r="K25" s="20"/>
      <c r="L25" s="20"/>
      <c r="M25" s="20"/>
      <c r="N25" s="20"/>
      <c r="O25" s="20"/>
      <c r="P25" s="20"/>
      <c r="Q25" s="20"/>
      <c r="R25" s="108"/>
      <c r="S25" s="20"/>
      <c r="T25" s="20"/>
      <c r="U25" s="20"/>
      <c r="V25" s="20"/>
      <c r="W25" s="30"/>
      <c r="X25" s="30"/>
      <c r="Y25" s="30"/>
      <c r="Z25" s="30"/>
      <c r="AA25" s="30"/>
      <c r="AB25" s="30"/>
      <c r="AC25" s="30"/>
    </row>
    <row r="26" spans="1:29" s="22" customFormat="1" ht="21" customHeight="1" x14ac:dyDescent="0.25">
      <c r="A26" s="16" t="s">
        <v>373</v>
      </c>
      <c r="B26" s="17" t="s">
        <v>405</v>
      </c>
      <c r="C26" s="17" t="s">
        <v>36</v>
      </c>
      <c r="D26" s="17" t="s">
        <v>61</v>
      </c>
      <c r="E26" s="17">
        <v>350</v>
      </c>
      <c r="F26" s="18">
        <v>34879.199666</v>
      </c>
      <c r="G26" s="18">
        <v>35994.699666</v>
      </c>
      <c r="H26" s="18">
        <v>41298.647832000002</v>
      </c>
      <c r="I26" s="23"/>
      <c r="J26" s="20" t="s">
        <v>64</v>
      </c>
      <c r="K26" s="20"/>
      <c r="L26" s="20"/>
      <c r="M26" s="20"/>
      <c r="N26" s="20"/>
      <c r="O26" s="20"/>
      <c r="P26" s="20"/>
      <c r="Q26" s="20"/>
      <c r="R26" s="108"/>
      <c r="S26" s="20"/>
      <c r="T26" s="20"/>
      <c r="U26" s="20"/>
      <c r="V26" s="20"/>
      <c r="W26" s="30"/>
      <c r="X26" s="30"/>
      <c r="Y26" s="30"/>
      <c r="Z26" s="30"/>
      <c r="AA26" s="30"/>
      <c r="AB26" s="30"/>
      <c r="AC26" s="30"/>
    </row>
    <row r="27" spans="1:29" s="22" customFormat="1" x14ac:dyDescent="0.25">
      <c r="A27" s="16" t="s">
        <v>54</v>
      </c>
      <c r="B27" s="17" t="s">
        <v>361</v>
      </c>
      <c r="C27" s="17" t="s">
        <v>36</v>
      </c>
      <c r="D27" s="17" t="s">
        <v>45</v>
      </c>
      <c r="E27" s="17">
        <v>200</v>
      </c>
      <c r="F27" s="18">
        <v>6819.4914435000001</v>
      </c>
      <c r="G27" s="18">
        <v>7255.9914435000001</v>
      </c>
      <c r="H27" s="18">
        <v>8070.7706369999996</v>
      </c>
      <c r="I27" s="23">
        <v>1</v>
      </c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</row>
    <row r="28" spans="1:29" s="22" customFormat="1" x14ac:dyDescent="0.25">
      <c r="A28" s="16" t="s">
        <v>55</v>
      </c>
      <c r="B28" s="17" t="s">
        <v>362</v>
      </c>
      <c r="C28" s="17" t="s">
        <v>36</v>
      </c>
      <c r="D28" s="17" t="s">
        <v>45</v>
      </c>
      <c r="E28" s="17">
        <v>200</v>
      </c>
      <c r="F28" s="18">
        <v>10609.085745999997</v>
      </c>
      <c r="G28" s="18">
        <v>11288.085745999997</v>
      </c>
      <c r="H28" s="18">
        <v>12556.507991999999</v>
      </c>
      <c r="I28" s="23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</row>
    <row r="29" spans="1:29" s="22" customFormat="1" ht="21" customHeight="1" x14ac:dyDescent="0.25">
      <c r="A29" s="16" t="s">
        <v>56</v>
      </c>
      <c r="B29" s="17" t="s">
        <v>363</v>
      </c>
      <c r="C29" s="17" t="s">
        <v>36</v>
      </c>
      <c r="D29" s="17" t="s">
        <v>45</v>
      </c>
      <c r="E29" s="17">
        <v>200</v>
      </c>
      <c r="F29" s="18">
        <v>7122.6330188600004</v>
      </c>
      <c r="G29" s="18">
        <v>7578.5330188600001</v>
      </c>
      <c r="H29" s="18">
        <v>8429.5776877200005</v>
      </c>
      <c r="I29" s="23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</row>
    <row r="30" spans="1:29" s="22" customFormat="1" ht="21" customHeight="1" x14ac:dyDescent="0.25">
      <c r="A30" s="16" t="s">
        <v>57</v>
      </c>
      <c r="B30" s="17" t="s">
        <v>364</v>
      </c>
      <c r="C30" s="17" t="s">
        <v>36</v>
      </c>
      <c r="D30" s="17" t="s">
        <v>45</v>
      </c>
      <c r="E30" s="17">
        <v>200</v>
      </c>
      <c r="F30" s="18">
        <v>10912.283775359998</v>
      </c>
      <c r="G30" s="18">
        <v>11610.683775359998</v>
      </c>
      <c r="H30" s="18">
        <v>12915.427950719999</v>
      </c>
      <c r="I30" s="23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</row>
    <row r="31" spans="1:29" s="22" customFormat="1" x14ac:dyDescent="0.25">
      <c r="A31" s="16" t="s">
        <v>58</v>
      </c>
      <c r="B31" s="17" t="s">
        <v>365</v>
      </c>
      <c r="C31" s="17" t="s">
        <v>36</v>
      </c>
      <c r="D31" s="17" t="s">
        <v>45</v>
      </c>
      <c r="E31" s="17">
        <v>200</v>
      </c>
      <c r="F31" s="18">
        <v>7425.7791105400011</v>
      </c>
      <c r="G31" s="18">
        <v>7901.0791105400003</v>
      </c>
      <c r="H31" s="18">
        <v>8788.3937710800001</v>
      </c>
      <c r="I31" s="23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</row>
    <row r="32" spans="1:29" s="22" customFormat="1" x14ac:dyDescent="0.25">
      <c r="A32" s="16" t="s">
        <v>59</v>
      </c>
      <c r="B32" s="17" t="s">
        <v>366</v>
      </c>
      <c r="C32" s="17" t="s">
        <v>36</v>
      </c>
      <c r="D32" s="17" t="s">
        <v>45</v>
      </c>
      <c r="E32" s="17">
        <v>200</v>
      </c>
      <c r="F32" s="18">
        <v>11215.486321039998</v>
      </c>
      <c r="G32" s="18">
        <v>11933.286321039997</v>
      </c>
      <c r="H32" s="18">
        <v>13274.356942079998</v>
      </c>
      <c r="I32" s="23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</row>
    <row r="33" spans="1:29" x14ac:dyDescent="0.25">
      <c r="A33" s="16" t="s">
        <v>308</v>
      </c>
      <c r="B33" s="17" t="s">
        <v>292</v>
      </c>
      <c r="C33" s="17" t="s">
        <v>36</v>
      </c>
      <c r="D33" s="90" t="s">
        <v>45</v>
      </c>
      <c r="E33" s="17">
        <v>200</v>
      </c>
      <c r="F33" s="18">
        <v>8941.577313740001</v>
      </c>
      <c r="G33" s="18">
        <v>9513.8773137400003</v>
      </c>
      <c r="H33" s="18">
        <v>10582.609677480001</v>
      </c>
      <c r="I33" s="23"/>
      <c r="J33" s="30"/>
      <c r="K33" s="30"/>
      <c r="L33" s="30"/>
      <c r="M33" s="30"/>
      <c r="N33" s="30"/>
      <c r="O33" s="30"/>
      <c r="P33" s="30"/>
      <c r="Q33" s="30"/>
      <c r="R33" s="108"/>
      <c r="S33" s="20"/>
      <c r="T33" s="20"/>
      <c r="U33" s="20"/>
      <c r="V33" s="20"/>
      <c r="W33" s="20"/>
      <c r="X33" s="20"/>
      <c r="Y33" s="20"/>
      <c r="Z33" s="20"/>
      <c r="AA33" s="20"/>
      <c r="AB33" s="20"/>
    </row>
    <row r="34" spans="1:29" x14ac:dyDescent="0.25">
      <c r="A34" s="16" t="s">
        <v>309</v>
      </c>
      <c r="B34" s="17" t="s">
        <v>293</v>
      </c>
      <c r="C34" s="17" t="s">
        <v>36</v>
      </c>
      <c r="D34" s="90" t="s">
        <v>45</v>
      </c>
      <c r="E34" s="17">
        <v>200</v>
      </c>
      <c r="F34" s="18">
        <v>14247.76017544</v>
      </c>
      <c r="G34" s="18">
        <v>15159.56017544</v>
      </c>
      <c r="H34" s="18">
        <v>16864.14365088</v>
      </c>
      <c r="I34" s="23"/>
      <c r="J34" s="30"/>
      <c r="K34" s="30"/>
      <c r="L34" s="30"/>
      <c r="M34" s="30"/>
      <c r="N34" s="30"/>
      <c r="O34" s="30"/>
      <c r="P34" s="30"/>
      <c r="Q34" s="30"/>
      <c r="R34" s="108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</row>
    <row r="35" spans="1:29" x14ac:dyDescent="0.25">
      <c r="A35" s="1" t="s">
        <v>367</v>
      </c>
      <c r="B35" s="72" t="s">
        <v>497</v>
      </c>
      <c r="C35" s="17" t="s">
        <v>36</v>
      </c>
      <c r="D35" s="90" t="s">
        <v>45</v>
      </c>
      <c r="E35" s="17">
        <v>200</v>
      </c>
      <c r="F35" s="30"/>
      <c r="G35" s="107">
        <f>1000*1.7*9.8</f>
        <v>16660</v>
      </c>
      <c r="H35" s="30"/>
      <c r="I35" s="23"/>
      <c r="J35" s="30"/>
      <c r="K35" s="30"/>
      <c r="L35" s="30"/>
      <c r="M35" s="30"/>
      <c r="N35" s="30"/>
      <c r="O35" s="30"/>
      <c r="P35" s="30"/>
      <c r="Q35" s="30"/>
      <c r="R35" s="108"/>
      <c r="S35" s="20"/>
      <c r="T35" s="20"/>
      <c r="U35" s="20"/>
      <c r="V35" s="20"/>
      <c r="W35" s="30"/>
      <c r="X35" s="30"/>
      <c r="Y35" s="30"/>
      <c r="Z35" s="30"/>
      <c r="AA35" s="30"/>
      <c r="AB35" s="30"/>
      <c r="AC35" s="30"/>
    </row>
    <row r="36" spans="1:29" x14ac:dyDescent="0.25">
      <c r="A36" s="1" t="s">
        <v>368</v>
      </c>
      <c r="B36" s="72" t="s">
        <v>498</v>
      </c>
      <c r="C36" s="17" t="s">
        <v>36</v>
      </c>
      <c r="D36" s="90" t="s">
        <v>45</v>
      </c>
      <c r="E36" s="17">
        <v>200</v>
      </c>
      <c r="F36" s="30"/>
      <c r="G36" s="107">
        <f>1200*1.7*9.8</f>
        <v>19992</v>
      </c>
      <c r="H36" s="30"/>
      <c r="I36" s="23"/>
      <c r="J36" s="30"/>
      <c r="K36" s="30"/>
      <c r="L36" s="30"/>
      <c r="M36" s="30"/>
      <c r="N36" s="30"/>
      <c r="O36" s="30"/>
      <c r="P36" s="30"/>
      <c r="Q36" s="30"/>
      <c r="R36" s="108"/>
      <c r="S36" s="20"/>
      <c r="T36" s="20"/>
      <c r="U36" s="20"/>
      <c r="V36" s="20"/>
      <c r="W36" s="30"/>
      <c r="X36" s="30"/>
      <c r="Y36" s="30"/>
      <c r="Z36" s="30"/>
      <c r="AA36" s="30"/>
      <c r="AB36" s="30"/>
      <c r="AC36" s="30"/>
    </row>
    <row r="37" spans="1:29" x14ac:dyDescent="0.25">
      <c r="A37" s="1" t="s">
        <v>514</v>
      </c>
      <c r="B37" s="72" t="s">
        <v>515</v>
      </c>
      <c r="C37" s="72" t="s">
        <v>492</v>
      </c>
      <c r="D37" s="72" t="s">
        <v>45</v>
      </c>
      <c r="E37" s="17">
        <v>200</v>
      </c>
      <c r="F37" s="30"/>
      <c r="G37" s="30">
        <f>1500*1.75*9.8</f>
        <v>25725.000000000004</v>
      </c>
      <c r="H37" s="30"/>
      <c r="I37" s="16"/>
      <c r="J37" s="30"/>
      <c r="K37" s="30"/>
      <c r="L37" s="30"/>
      <c r="M37" s="30"/>
      <c r="N37" s="30"/>
      <c r="O37" s="30"/>
      <c r="P37" s="30"/>
      <c r="Q37" s="30"/>
      <c r="R37" s="108" t="str">
        <f t="shared" ref="R37" si="0">IF(F$2="HYDRAULIQUE",IF(AND(ISNUMBER(SEARCH($I$2,$B37)),ISNUMBER(SEARCH($N$2,$B37))),1,""),"")</f>
        <v/>
      </c>
      <c r="S37" s="20"/>
      <c r="T37" s="20"/>
      <c r="U37" s="20"/>
      <c r="V37" s="20"/>
      <c r="W37" s="30"/>
      <c r="X37" s="30"/>
      <c r="Y37" s="30"/>
      <c r="Z37" s="30"/>
      <c r="AA37" s="30"/>
      <c r="AB37" s="30"/>
      <c r="AC37" s="30"/>
    </row>
    <row r="38" spans="1:29" x14ac:dyDescent="0.25">
      <c r="A38" s="1" t="s">
        <v>516</v>
      </c>
      <c r="B38" s="72" t="s">
        <v>517</v>
      </c>
      <c r="C38" s="72" t="s">
        <v>492</v>
      </c>
      <c r="D38" s="72" t="s">
        <v>45</v>
      </c>
      <c r="E38" s="17">
        <v>201</v>
      </c>
      <c r="F38" s="30"/>
      <c r="G38" s="30"/>
      <c r="H38" s="30"/>
      <c r="I38" s="16"/>
      <c r="J38" s="30"/>
      <c r="K38" s="30"/>
      <c r="L38" s="30"/>
      <c r="M38" s="30"/>
      <c r="N38" s="30"/>
      <c r="O38" s="30"/>
      <c r="P38" s="30"/>
      <c r="Q38" s="30"/>
      <c r="R38" s="108"/>
      <c r="S38" s="20"/>
      <c r="T38" s="20"/>
      <c r="U38" s="20"/>
      <c r="V38" s="20"/>
      <c r="W38" s="30"/>
      <c r="X38" s="30"/>
      <c r="Y38" s="30"/>
      <c r="Z38" s="30"/>
      <c r="AA38" s="30"/>
      <c r="AB38" s="30"/>
      <c r="AC38" s="30"/>
    </row>
    <row r="39" spans="1:29" x14ac:dyDescent="0.25">
      <c r="A39" s="1" t="s">
        <v>518</v>
      </c>
      <c r="B39" s="72" t="s">
        <v>519</v>
      </c>
      <c r="C39" s="72" t="s">
        <v>492</v>
      </c>
      <c r="D39" s="72" t="s">
        <v>45</v>
      </c>
      <c r="E39" s="17">
        <v>202</v>
      </c>
      <c r="F39" s="30"/>
      <c r="G39" s="30"/>
      <c r="H39" s="30"/>
      <c r="I39" s="16"/>
      <c r="J39" s="30"/>
      <c r="K39" s="30"/>
      <c r="L39" s="30"/>
      <c r="M39" s="30"/>
      <c r="N39" s="30"/>
      <c r="O39" s="30"/>
      <c r="P39" s="30"/>
      <c r="Q39" s="30"/>
      <c r="R39" s="108"/>
      <c r="S39" s="20"/>
      <c r="T39" s="20"/>
      <c r="U39" s="20"/>
      <c r="V39" s="20"/>
      <c r="W39" s="30"/>
      <c r="X39" s="30"/>
      <c r="Y39" s="30"/>
      <c r="Z39" s="30"/>
      <c r="AA39" s="30"/>
      <c r="AB39" s="30"/>
      <c r="AC39" s="30"/>
    </row>
    <row r="40" spans="1:29" x14ac:dyDescent="0.25">
      <c r="A40" s="1" t="s">
        <v>503</v>
      </c>
      <c r="B40" s="72" t="s">
        <v>502</v>
      </c>
      <c r="C40" s="72" t="s">
        <v>492</v>
      </c>
      <c r="D40" s="72" t="s">
        <v>45</v>
      </c>
      <c r="E40" s="17">
        <v>200</v>
      </c>
      <c r="F40" s="30"/>
      <c r="G40" s="30">
        <f>1500*1.7*11+1500*11</f>
        <v>44550</v>
      </c>
      <c r="H40" s="30"/>
      <c r="I40" s="16"/>
      <c r="J40" s="30"/>
      <c r="K40" s="30"/>
      <c r="L40" s="30"/>
      <c r="M40" s="30"/>
      <c r="N40" s="30"/>
      <c r="O40" s="30"/>
      <c r="P40" s="30"/>
      <c r="Q40" s="30"/>
      <c r="R40" s="108" t="str">
        <f>IF(F$2="HYDRAULIQUE",IF(AND(ISNUMBER(SEARCH($I$2,$B40)),ISNUMBER(SEARCH("("&amp;$H$2,$B40)),ISNUMBER(SEARCH($N$2,$B40))),1,""),"")</f>
        <v/>
      </c>
      <c r="S40" s="20"/>
      <c r="T40" s="20"/>
      <c r="U40" s="20"/>
      <c r="V40" s="20"/>
      <c r="W40" s="30"/>
      <c r="X40" s="30"/>
      <c r="Y40" s="30"/>
      <c r="Z40" s="30"/>
      <c r="AA40" s="30"/>
      <c r="AB40" s="30"/>
      <c r="AC40" s="30"/>
    </row>
    <row r="41" spans="1:29" x14ac:dyDescent="0.25">
      <c r="A41" s="1" t="s">
        <v>504</v>
      </c>
      <c r="B41" s="72" t="s">
        <v>507</v>
      </c>
      <c r="C41" s="72" t="s">
        <v>492</v>
      </c>
      <c r="D41" s="72" t="s">
        <v>45</v>
      </c>
      <c r="E41" s="17">
        <v>200</v>
      </c>
      <c r="F41" s="30"/>
      <c r="G41" s="30">
        <f>1500*1.7*11+1200*11</f>
        <v>41250</v>
      </c>
      <c r="H41" s="30"/>
      <c r="I41" s="16"/>
      <c r="J41" s="30"/>
      <c r="K41" s="30"/>
      <c r="L41" s="30"/>
      <c r="M41" s="30"/>
      <c r="N41" s="30"/>
      <c r="O41" s="30"/>
      <c r="P41" s="30"/>
      <c r="Q41" s="30"/>
      <c r="R41" s="108" t="str">
        <f t="shared" ref="R41:R42" si="1">IF(F$2="HYDRAULIQUE",IF(AND(ISNUMBER(SEARCH($I$2,$B41)),ISNUMBER(SEARCH("("&amp;$H$2,$B41)),ISNUMBER(SEARCH($N$2,$B41))),1,""),"")</f>
        <v/>
      </c>
      <c r="S41" s="20"/>
      <c r="T41" s="20"/>
      <c r="U41" s="20"/>
      <c r="V41" s="20"/>
      <c r="W41" s="30"/>
      <c r="X41" s="30"/>
      <c r="Y41" s="30"/>
      <c r="Z41" s="30"/>
      <c r="AA41" s="30"/>
      <c r="AB41" s="30"/>
      <c r="AC41" s="30"/>
    </row>
    <row r="42" spans="1:29" x14ac:dyDescent="0.25">
      <c r="A42" s="1" t="s">
        <v>506</v>
      </c>
      <c r="B42" s="72" t="s">
        <v>505</v>
      </c>
      <c r="C42" s="72" t="s">
        <v>492</v>
      </c>
      <c r="D42" s="72" t="s">
        <v>45</v>
      </c>
      <c r="E42" s="17">
        <v>200</v>
      </c>
      <c r="F42" s="30"/>
      <c r="G42" s="30">
        <f>1500*1.7*9.8+1000*9.8</f>
        <v>34790</v>
      </c>
      <c r="H42" s="30"/>
      <c r="I42" s="16"/>
      <c r="J42" s="30"/>
      <c r="K42" s="30"/>
      <c r="L42" s="30"/>
      <c r="M42" s="30"/>
      <c r="N42" s="30"/>
      <c r="O42" s="30"/>
      <c r="P42" s="30"/>
      <c r="Q42" s="30"/>
      <c r="R42" s="108" t="str">
        <f t="shared" si="1"/>
        <v/>
      </c>
      <c r="S42" s="20"/>
      <c r="T42" s="20"/>
      <c r="U42" s="20"/>
      <c r="V42" s="20"/>
      <c r="W42" s="30"/>
      <c r="X42" s="30"/>
      <c r="Y42" s="30"/>
      <c r="Z42" s="30"/>
      <c r="AA42" s="30"/>
      <c r="AB42" s="30"/>
      <c r="AC42" s="30"/>
    </row>
    <row r="43" spans="1:29" x14ac:dyDescent="0.25">
      <c r="A43" s="1" t="s">
        <v>490</v>
      </c>
      <c r="B43" s="72" t="s">
        <v>494</v>
      </c>
      <c r="C43" s="72" t="s">
        <v>492</v>
      </c>
      <c r="D43" s="72" t="s">
        <v>45</v>
      </c>
      <c r="E43" s="17">
        <v>200</v>
      </c>
      <c r="F43" s="30"/>
      <c r="G43" s="30">
        <f>800*1.7*9.8</f>
        <v>13328.000000000002</v>
      </c>
      <c r="H43" s="30"/>
      <c r="J43" s="30"/>
      <c r="K43" s="30"/>
      <c r="L43" s="30"/>
      <c r="M43" s="30"/>
      <c r="N43" s="30"/>
      <c r="O43" s="30"/>
      <c r="P43" s="30"/>
      <c r="Q43" s="30"/>
      <c r="R43" s="108" t="str">
        <f>IF(F$2="HYDRAULIQUE",1,"")</f>
        <v/>
      </c>
      <c r="S43" s="20"/>
      <c r="T43" s="20"/>
      <c r="U43" s="20"/>
      <c r="V43" s="20"/>
      <c r="W43" s="30"/>
      <c r="X43" s="30"/>
      <c r="Y43" s="30"/>
      <c r="Z43" s="30"/>
      <c r="AA43" s="30"/>
      <c r="AB43" s="30"/>
      <c r="AC43" s="30"/>
    </row>
    <row r="44" spans="1:29" x14ac:dyDescent="0.25">
      <c r="A44" s="1" t="s">
        <v>491</v>
      </c>
      <c r="B44" s="72" t="s">
        <v>510</v>
      </c>
      <c r="C44" s="72" t="s">
        <v>492</v>
      </c>
      <c r="D44" s="72" t="s">
        <v>493</v>
      </c>
      <c r="E44" s="72"/>
      <c r="F44" s="30"/>
      <c r="G44" s="30">
        <v>42</v>
      </c>
      <c r="H44" s="30"/>
      <c r="I44" s="16"/>
      <c r="J44" s="30"/>
      <c r="K44" s="30"/>
      <c r="L44" s="30"/>
      <c r="M44" s="30"/>
      <c r="N44" s="30"/>
      <c r="O44" s="30"/>
      <c r="P44" s="30"/>
      <c r="Q44" s="30"/>
      <c r="R44" s="108" t="str">
        <f>IF(F$2="HYDRAULIQUE",120,"")</f>
        <v/>
      </c>
      <c r="S44" s="20"/>
      <c r="T44" s="20"/>
      <c r="U44" s="20"/>
      <c r="V44" s="20"/>
      <c r="W44" s="30"/>
      <c r="X44" s="30"/>
      <c r="Y44" s="30"/>
      <c r="Z44" s="30"/>
      <c r="AA44" s="30"/>
      <c r="AB44" s="30"/>
      <c r="AC44" s="30"/>
    </row>
    <row r="45" spans="1:29" s="22" customFormat="1" ht="15" customHeight="1" x14ac:dyDescent="0.25">
      <c r="A45" s="16" t="s">
        <v>60</v>
      </c>
      <c r="B45" s="17" t="s">
        <v>300</v>
      </c>
      <c r="C45" s="17" t="s">
        <v>34</v>
      </c>
      <c r="D45" s="17" t="s">
        <v>61</v>
      </c>
      <c r="E45" s="17">
        <v>145</v>
      </c>
      <c r="F45" s="18">
        <v>3952.4832049947972</v>
      </c>
      <c r="G45" s="18">
        <v>4075.0638501560875</v>
      </c>
      <c r="H45" s="18">
        <v>4532.4051196670134</v>
      </c>
      <c r="I45" s="20"/>
      <c r="J45" s="20" t="s">
        <v>64</v>
      </c>
      <c r="K45" s="20"/>
      <c r="L45" s="20"/>
      <c r="M45" s="20"/>
      <c r="N45" s="20"/>
      <c r="O45" s="20"/>
      <c r="P45" s="20"/>
      <c r="Q45" s="20"/>
      <c r="R45" s="26" t="str">
        <f t="shared" ref="R45:R65" si="2">IF(SUM(S45:AC45)&lt;&gt;0,SUM(S45:AC45),"")</f>
        <v/>
      </c>
      <c r="S45" s="21" t="str">
        <f t="shared" ref="S45:S52" si="3">IF($C45=S$10,IF(AND(ISNUMBER(SEARCH($F$2,$B45)),ISNUMBER(SEARCH($N$2,$B45)),ISNUMBER(SEARCH($N$2,$B45))),1,""),"")</f>
        <v/>
      </c>
      <c r="T45" s="21" t="str">
        <f t="shared" ref="T45:T52" si="4">IF($C45=T$10,IF(AND(ISNUMBER(SEARCH($F$2,$B45)),ISNUMBER(SEARCH($N$2,$B45)),ISNUMBER(SEARCH($I$2,$B45))),1,""),"")</f>
        <v/>
      </c>
      <c r="U45" s="21" t="str">
        <f t="shared" ref="U45:U52" si="5">IF($C45=U$10,IF(AND(ISNUMBER(SEARCH($M$2,$B45)),ISNUMBER(SEARCH($L$2,$B45)),ISNUMBER(SEARCH($J$2,$B45)),ISNUMBER(SEARCH($K$2,$B45))),$H$2,""),"")</f>
        <v/>
      </c>
      <c r="V45" s="21" t="str">
        <f t="shared" ref="V45:V52" si="6">IF($C45=V$10,IF(AND(ISNUMBER(SEARCH($M$2,$B45)),ISNUMBER(SEARCH($J$2,$B45)),ISNUMBER(SEARCH($K$2,$B45)),$L$2="AUTOMATIQUE"),1,""),"")</f>
        <v/>
      </c>
      <c r="W45" s="20"/>
      <c r="X45" s="20"/>
      <c r="Y45" s="20"/>
      <c r="Z45" s="20"/>
      <c r="AA45" s="20"/>
      <c r="AB45" s="20"/>
      <c r="AC45" s="20"/>
    </row>
    <row r="46" spans="1:29" s="22" customFormat="1" ht="15" customHeight="1" x14ac:dyDescent="0.25">
      <c r="A46" s="16" t="s">
        <v>62</v>
      </c>
      <c r="B46" s="17" t="s">
        <v>301</v>
      </c>
      <c r="C46" s="17" t="s">
        <v>34</v>
      </c>
      <c r="D46" s="17" t="s">
        <v>61</v>
      </c>
      <c r="E46" s="17">
        <v>140</v>
      </c>
      <c r="F46" s="18">
        <v>2915.0296670135281</v>
      </c>
      <c r="G46" s="18">
        <v>3005.3522476586891</v>
      </c>
      <c r="H46" s="18">
        <v>3342.2706243496364</v>
      </c>
      <c r="I46" s="20">
        <v>4</v>
      </c>
      <c r="J46" s="20" t="s">
        <v>64</v>
      </c>
      <c r="K46" s="20"/>
      <c r="L46" s="20"/>
      <c r="M46" s="20"/>
      <c r="N46" s="20"/>
      <c r="O46" s="20"/>
      <c r="P46" s="20"/>
      <c r="Q46" s="20"/>
      <c r="R46" s="26">
        <f t="shared" si="2"/>
        <v>4</v>
      </c>
      <c r="S46" s="21" t="str">
        <f t="shared" si="3"/>
        <v/>
      </c>
      <c r="T46" s="21" t="str">
        <f t="shared" si="4"/>
        <v/>
      </c>
      <c r="U46" s="21">
        <f t="shared" si="5"/>
        <v>4</v>
      </c>
      <c r="V46" s="21" t="str">
        <f t="shared" si="6"/>
        <v/>
      </c>
      <c r="W46" s="20"/>
      <c r="X46" s="20"/>
      <c r="Y46" s="20"/>
      <c r="Z46" s="20"/>
      <c r="AA46" s="20"/>
      <c r="AB46" s="20"/>
      <c r="AC46" s="20"/>
    </row>
    <row r="47" spans="1:29" s="22" customFormat="1" ht="15" customHeight="1" x14ac:dyDescent="0.25">
      <c r="A47" s="16" t="s">
        <v>63</v>
      </c>
      <c r="B47" s="105" t="s">
        <v>409</v>
      </c>
      <c r="C47" s="17" t="s">
        <v>35</v>
      </c>
      <c r="D47" s="17" t="s">
        <v>61</v>
      </c>
      <c r="E47" s="17">
        <v>38</v>
      </c>
      <c r="F47" s="18">
        <v>6700</v>
      </c>
      <c r="G47" s="18">
        <v>6950</v>
      </c>
      <c r="H47" s="18">
        <v>7500</v>
      </c>
      <c r="I47" s="20">
        <v>1</v>
      </c>
      <c r="J47" s="20" t="s">
        <v>64</v>
      </c>
      <c r="K47" s="20"/>
      <c r="L47" s="20"/>
      <c r="M47" s="20"/>
      <c r="N47" s="20"/>
      <c r="O47" s="20"/>
      <c r="P47" s="20"/>
      <c r="Q47" s="20"/>
      <c r="R47" s="26">
        <f t="shared" si="2"/>
        <v>1</v>
      </c>
      <c r="S47" s="21" t="str">
        <f t="shared" si="3"/>
        <v/>
      </c>
      <c r="T47" s="21" t="str">
        <f t="shared" si="4"/>
        <v/>
      </c>
      <c r="U47" s="21" t="str">
        <f t="shared" si="5"/>
        <v/>
      </c>
      <c r="V47" s="21">
        <f t="shared" si="6"/>
        <v>1</v>
      </c>
      <c r="W47" s="20"/>
      <c r="X47" s="20"/>
      <c r="Y47" s="20"/>
      <c r="Z47" s="20"/>
      <c r="AA47" s="20"/>
      <c r="AB47" s="20"/>
      <c r="AC47" s="20"/>
    </row>
    <row r="48" spans="1:29" s="22" customFormat="1" ht="15" customHeight="1" x14ac:dyDescent="0.25">
      <c r="A48" s="16" t="s">
        <v>65</v>
      </c>
      <c r="B48" s="104" t="s">
        <v>444</v>
      </c>
      <c r="C48" s="17" t="s">
        <v>34</v>
      </c>
      <c r="D48" s="17" t="s">
        <v>61</v>
      </c>
      <c r="E48" s="17">
        <v>90</v>
      </c>
      <c r="F48" s="18">
        <v>1850</v>
      </c>
      <c r="G48" s="18">
        <v>1970</v>
      </c>
      <c r="H48" s="18">
        <v>2300</v>
      </c>
      <c r="I48" s="20"/>
      <c r="J48" s="20" t="s">
        <v>64</v>
      </c>
      <c r="K48" s="20"/>
      <c r="L48" s="20"/>
      <c r="M48" s="20"/>
      <c r="N48" s="20"/>
      <c r="O48" s="20"/>
      <c r="P48" s="20"/>
      <c r="Q48" s="20"/>
      <c r="R48" s="26" t="str">
        <f t="shared" si="2"/>
        <v/>
      </c>
      <c r="S48" s="21" t="str">
        <f t="shared" si="3"/>
        <v/>
      </c>
      <c r="T48" s="21" t="str">
        <f t="shared" si="4"/>
        <v/>
      </c>
      <c r="U48" s="21" t="str">
        <f>IF($C48=U$10,IF(AND(ISNUMBER(SEARCH($M$2,$B48)),ISNUMBER(SEARCH($L$2,$B48)),ISNUMBER(SEARCH($J$2,$B48)),ISNUMBER(SEARCH($K$2,$B48))),$H$2,""),"")</f>
        <v/>
      </c>
      <c r="V48" s="21" t="str">
        <f t="shared" si="6"/>
        <v/>
      </c>
      <c r="W48" s="20"/>
      <c r="X48" s="20"/>
      <c r="Y48" s="20"/>
      <c r="Z48" s="20"/>
      <c r="AA48" s="20"/>
      <c r="AB48" s="20"/>
      <c r="AC48" s="20"/>
    </row>
    <row r="49" spans="1:29" s="22" customFormat="1" ht="15" customHeight="1" x14ac:dyDescent="0.25">
      <c r="A49" s="16" t="s">
        <v>66</v>
      </c>
      <c r="B49" s="103" t="s">
        <v>445</v>
      </c>
      <c r="C49" s="17" t="s">
        <v>34</v>
      </c>
      <c r="D49" s="17" t="s">
        <v>61</v>
      </c>
      <c r="E49" s="17">
        <v>90</v>
      </c>
      <c r="F49" s="18">
        <f>250*1.7*9.8</f>
        <v>4165</v>
      </c>
      <c r="G49" s="18">
        <f>250*1.7*9.8</f>
        <v>4165</v>
      </c>
      <c r="H49" s="18">
        <f>+G49+200</f>
        <v>4365</v>
      </c>
      <c r="I49" s="20"/>
      <c r="J49" s="20" t="s">
        <v>64</v>
      </c>
      <c r="K49" s="20"/>
      <c r="L49" s="20"/>
      <c r="M49" s="20"/>
      <c r="N49" s="20"/>
      <c r="O49" s="20"/>
      <c r="P49" s="20"/>
      <c r="Q49" s="20"/>
      <c r="R49" s="26" t="str">
        <f t="shared" si="2"/>
        <v/>
      </c>
      <c r="S49" s="21" t="str">
        <f t="shared" si="3"/>
        <v/>
      </c>
      <c r="T49" s="21" t="str">
        <f t="shared" si="4"/>
        <v/>
      </c>
      <c r="U49" s="21" t="str">
        <f t="shared" si="5"/>
        <v/>
      </c>
      <c r="V49" s="21" t="str">
        <f t="shared" si="6"/>
        <v/>
      </c>
      <c r="W49" s="20"/>
      <c r="X49" s="20"/>
      <c r="Y49" s="20"/>
      <c r="Z49" s="20"/>
      <c r="AA49" s="20"/>
      <c r="AB49" s="20"/>
      <c r="AC49" s="20"/>
    </row>
    <row r="50" spans="1:29" s="22" customFormat="1" ht="15" customHeight="1" x14ac:dyDescent="0.25">
      <c r="A50" s="16" t="s">
        <v>67</v>
      </c>
      <c r="B50" s="17" t="s">
        <v>68</v>
      </c>
      <c r="C50" s="17" t="s">
        <v>42</v>
      </c>
      <c r="D50" s="17" t="s">
        <v>61</v>
      </c>
      <c r="E50" s="17">
        <v>3</v>
      </c>
      <c r="F50" s="18">
        <v>470</v>
      </c>
      <c r="G50" s="18">
        <v>530</v>
      </c>
      <c r="H50" s="18">
        <v>700</v>
      </c>
      <c r="I50" s="20"/>
      <c r="J50" s="20" t="s">
        <v>64</v>
      </c>
      <c r="K50" s="20"/>
      <c r="L50" s="20"/>
      <c r="M50" s="20"/>
      <c r="N50" s="20"/>
      <c r="O50" s="20"/>
      <c r="P50" s="20"/>
      <c r="Q50" s="20"/>
      <c r="R50" s="26" t="str">
        <f>IF(SUM(S50:AC50)&lt;&gt;0,SUM(S50:AC50),"")</f>
        <v/>
      </c>
      <c r="S50" s="21" t="str">
        <f t="shared" si="3"/>
        <v/>
      </c>
      <c r="T50" s="21" t="str">
        <f t="shared" si="4"/>
        <v/>
      </c>
      <c r="U50" s="21" t="str">
        <f t="shared" si="5"/>
        <v/>
      </c>
      <c r="V50" s="21" t="str">
        <f t="shared" si="6"/>
        <v/>
      </c>
      <c r="W50" s="30"/>
      <c r="X50" s="30"/>
      <c r="Y50" s="30"/>
      <c r="Z50" s="30"/>
      <c r="AA50" s="30"/>
      <c r="AB50" s="30"/>
      <c r="AC50" s="21" t="str">
        <f>IF(L2="SEMI",H2,"")</f>
        <v/>
      </c>
    </row>
    <row r="51" spans="1:29" s="22" customFormat="1" ht="15" customHeight="1" x14ac:dyDescent="0.25">
      <c r="A51" s="16" t="s">
        <v>69</v>
      </c>
      <c r="B51" s="17" t="s">
        <v>70</v>
      </c>
      <c r="C51" s="17" t="s">
        <v>42</v>
      </c>
      <c r="D51" s="17" t="s">
        <v>61</v>
      </c>
      <c r="E51" s="17">
        <v>4</v>
      </c>
      <c r="F51" s="18">
        <v>800</v>
      </c>
      <c r="G51" s="18">
        <v>890</v>
      </c>
      <c r="H51" s="18">
        <v>950</v>
      </c>
      <c r="I51" s="20"/>
      <c r="J51" s="20" t="s">
        <v>64</v>
      </c>
      <c r="K51" s="20"/>
      <c r="L51" s="20"/>
      <c r="M51" s="20"/>
      <c r="N51" s="20"/>
      <c r="O51" s="20"/>
      <c r="P51" s="20"/>
      <c r="Q51" s="20"/>
      <c r="R51" s="26" t="str">
        <f>IF(SUM(S51:AC51)&lt;&gt;0,SUM(S51:AC51),"")</f>
        <v/>
      </c>
      <c r="S51" s="21" t="str">
        <f t="shared" si="3"/>
        <v/>
      </c>
      <c r="T51" s="21" t="str">
        <f t="shared" si="4"/>
        <v/>
      </c>
      <c r="U51" s="21" t="str">
        <f t="shared" si="5"/>
        <v/>
      </c>
      <c r="V51" s="21" t="str">
        <f t="shared" si="6"/>
        <v/>
      </c>
      <c r="W51" s="30"/>
      <c r="X51" s="30"/>
      <c r="Y51" s="30"/>
      <c r="Z51" s="30"/>
      <c r="AA51" s="30"/>
      <c r="AB51" s="30"/>
      <c r="AC51" s="21" t="str">
        <f>IF(L2="SEMI",1,"")</f>
        <v/>
      </c>
    </row>
    <row r="52" spans="1:29" s="22" customFormat="1" ht="15" customHeight="1" x14ac:dyDescent="0.25">
      <c r="A52" s="16" t="s">
        <v>71</v>
      </c>
      <c r="B52" s="17" t="s">
        <v>72</v>
      </c>
      <c r="C52" s="17" t="s">
        <v>42</v>
      </c>
      <c r="D52" s="17" t="s">
        <v>61</v>
      </c>
      <c r="E52" s="17">
        <v>2</v>
      </c>
      <c r="F52" s="18">
        <v>170</v>
      </c>
      <c r="G52" s="18">
        <v>190</v>
      </c>
      <c r="H52" s="18">
        <v>250</v>
      </c>
      <c r="I52" s="20"/>
      <c r="J52" s="20" t="s">
        <v>64</v>
      </c>
      <c r="K52" s="20"/>
      <c r="L52" s="20"/>
      <c r="M52" s="20"/>
      <c r="N52" s="20"/>
      <c r="O52" s="20"/>
      <c r="P52" s="20"/>
      <c r="Q52" s="20"/>
      <c r="R52" s="26" t="str">
        <f t="shared" si="2"/>
        <v/>
      </c>
      <c r="S52" s="21" t="str">
        <f t="shared" si="3"/>
        <v/>
      </c>
      <c r="T52" s="21" t="str">
        <f t="shared" si="4"/>
        <v/>
      </c>
      <c r="U52" s="21" t="str">
        <f t="shared" si="5"/>
        <v/>
      </c>
      <c r="V52" s="21" t="str">
        <f t="shared" si="6"/>
        <v/>
      </c>
      <c r="W52" s="20"/>
      <c r="X52" s="20"/>
      <c r="Y52" s="20"/>
      <c r="Z52" s="20"/>
      <c r="AA52" s="20"/>
      <c r="AB52" s="20"/>
      <c r="AC52" s="21" t="str">
        <f>IF(L2="SEMI",H2,"")</f>
        <v/>
      </c>
    </row>
    <row r="53" spans="1:29" s="22" customFormat="1" ht="15" customHeight="1" x14ac:dyDescent="0.25">
      <c r="A53" s="16" t="s">
        <v>73</v>
      </c>
      <c r="B53" s="17" t="s">
        <v>397</v>
      </c>
      <c r="C53" s="17" t="s">
        <v>33</v>
      </c>
      <c r="D53" s="17" t="s">
        <v>61</v>
      </c>
      <c r="E53" s="17">
        <v>180</v>
      </c>
      <c r="F53" s="18">
        <v>16000</v>
      </c>
      <c r="G53" s="18">
        <v>16450.196174159999</v>
      </c>
      <c r="H53" s="18">
        <v>17700</v>
      </c>
      <c r="I53" s="20"/>
      <c r="J53" s="20" t="s">
        <v>64</v>
      </c>
      <c r="K53" s="20"/>
      <c r="L53" s="20"/>
      <c r="M53" s="20"/>
      <c r="N53" s="20"/>
      <c r="O53" s="20"/>
      <c r="P53" s="20"/>
      <c r="Q53" s="20"/>
      <c r="R53" s="26" t="str">
        <f t="shared" si="2"/>
        <v/>
      </c>
      <c r="S53" s="21" t="str">
        <f t="shared" ref="S53:S84" si="7">IF($C53=S$10,IF(AND(ISNUMBER(SEARCH($F$2,$B53)),ISNUMBER(SEARCH($N$2,$B53)),ISNUMBER(SEARCH($N$2,$B53))),1,""),"")</f>
        <v/>
      </c>
      <c r="T53" s="21" t="str">
        <f t="shared" ref="T53:T84" si="8">IF($C53=T$10,IF(AND(ISNUMBER(SEARCH($F$2,$B53)),ISNUMBER(SEARCH($N$2,$B53)),ISNUMBER(SEARCH($I$2,$B53))),1,""),"")</f>
        <v/>
      </c>
      <c r="U53" s="21" t="str">
        <f t="shared" ref="U53:U84" si="9">IF($C53=U$10,IF(AND(ISNUMBER(SEARCH($M$2,$B53)),ISNUMBER(SEARCH($L$2,$B53)),ISNUMBER(SEARCH($J$2,$B53)),ISNUMBER(SEARCH($K$2,$B53))),$H$2,""),"")</f>
        <v/>
      </c>
      <c r="V53" s="21" t="str">
        <f t="shared" ref="V53:V84" si="10">IF($C53=V$10,IF(AND(ISNUMBER(SEARCH($M$2,$B53)),ISNUMBER(SEARCH($J$2,$B53)),ISNUMBER(SEARCH($K$2,$B53)),$L$2="AUTOMATIQUE"),1,""),"")</f>
        <v/>
      </c>
      <c r="W53" s="20"/>
      <c r="X53" s="20"/>
      <c r="Y53" s="20"/>
      <c r="Z53" s="20"/>
      <c r="AA53" s="20"/>
      <c r="AB53" s="20"/>
      <c r="AC53" s="20"/>
    </row>
    <row r="54" spans="1:29" s="22" customFormat="1" ht="15" customHeight="1" x14ac:dyDescent="0.25">
      <c r="A54" s="16" t="s">
        <v>74</v>
      </c>
      <c r="B54" s="17" t="s">
        <v>398</v>
      </c>
      <c r="C54" s="17" t="s">
        <v>33</v>
      </c>
      <c r="D54" s="17" t="s">
        <v>61</v>
      </c>
      <c r="E54" s="17">
        <v>240</v>
      </c>
      <c r="F54" s="18">
        <v>17000</v>
      </c>
      <c r="G54" s="18">
        <v>17450</v>
      </c>
      <c r="H54" s="18">
        <v>19500</v>
      </c>
      <c r="I54" s="20"/>
      <c r="J54" s="20" t="s">
        <v>64</v>
      </c>
      <c r="K54" s="20"/>
      <c r="L54" s="20"/>
      <c r="M54" s="20"/>
      <c r="N54" s="20"/>
      <c r="O54" s="20"/>
      <c r="P54" s="20"/>
      <c r="Q54" s="20"/>
      <c r="R54" s="26" t="str">
        <f t="shared" si="2"/>
        <v/>
      </c>
      <c r="S54" s="21" t="str">
        <f t="shared" si="7"/>
        <v/>
      </c>
      <c r="T54" s="21" t="str">
        <f t="shared" si="8"/>
        <v/>
      </c>
      <c r="U54" s="21" t="str">
        <f t="shared" si="9"/>
        <v/>
      </c>
      <c r="V54" s="21" t="str">
        <f t="shared" si="10"/>
        <v/>
      </c>
      <c r="W54" s="20"/>
      <c r="X54" s="20"/>
      <c r="Y54" s="20"/>
      <c r="Z54" s="20"/>
      <c r="AA54" s="20"/>
      <c r="AB54" s="20"/>
      <c r="AC54" s="20"/>
    </row>
    <row r="55" spans="1:29" s="22" customFormat="1" ht="15" customHeight="1" x14ac:dyDescent="0.25">
      <c r="A55" s="16" t="s">
        <v>75</v>
      </c>
      <c r="B55" s="17" t="s">
        <v>76</v>
      </c>
      <c r="C55" s="17" t="s">
        <v>33</v>
      </c>
      <c r="D55" s="17" t="s">
        <v>61</v>
      </c>
      <c r="E55" s="17">
        <v>320</v>
      </c>
      <c r="F55" s="18">
        <v>15700</v>
      </c>
      <c r="G55" s="18">
        <v>16200</v>
      </c>
      <c r="H55" s="18">
        <v>18000</v>
      </c>
      <c r="I55" s="20"/>
      <c r="J55" s="20" t="s">
        <v>64</v>
      </c>
      <c r="K55" s="20"/>
      <c r="L55" s="20"/>
      <c r="M55" s="20"/>
      <c r="N55" s="20"/>
      <c r="O55" s="20"/>
      <c r="P55" s="20"/>
      <c r="Q55" s="20"/>
      <c r="R55" s="26" t="str">
        <f t="shared" si="2"/>
        <v/>
      </c>
      <c r="S55" s="21" t="str">
        <f t="shared" si="7"/>
        <v/>
      </c>
      <c r="T55" s="21" t="str">
        <f t="shared" si="8"/>
        <v/>
      </c>
      <c r="U55" s="21" t="str">
        <f t="shared" si="9"/>
        <v/>
      </c>
      <c r="V55" s="21" t="str">
        <f t="shared" si="10"/>
        <v/>
      </c>
      <c r="W55" s="20"/>
      <c r="X55" s="20"/>
      <c r="Y55" s="20"/>
      <c r="Z55" s="20"/>
      <c r="AA55" s="20"/>
      <c r="AB55" s="20"/>
      <c r="AC55" s="20"/>
    </row>
    <row r="56" spans="1:29" s="22" customFormat="1" ht="15" customHeight="1" x14ac:dyDescent="0.25">
      <c r="A56" s="16" t="s">
        <v>77</v>
      </c>
      <c r="B56" s="34" t="s">
        <v>78</v>
      </c>
      <c r="C56" s="17" t="s">
        <v>33</v>
      </c>
      <c r="D56" s="17" t="s">
        <v>61</v>
      </c>
      <c r="E56" s="17">
        <v>380</v>
      </c>
      <c r="F56" s="18">
        <v>16900</v>
      </c>
      <c r="G56" s="18">
        <v>17400</v>
      </c>
      <c r="H56" s="18">
        <v>19150</v>
      </c>
      <c r="I56" s="20"/>
      <c r="J56" s="20" t="s">
        <v>64</v>
      </c>
      <c r="K56" s="20"/>
      <c r="L56" s="20"/>
      <c r="M56" s="20"/>
      <c r="N56" s="20"/>
      <c r="O56" s="20"/>
      <c r="P56" s="20"/>
      <c r="Q56" s="20"/>
      <c r="R56" s="26" t="str">
        <f t="shared" si="2"/>
        <v/>
      </c>
      <c r="S56" s="21" t="str">
        <f t="shared" si="7"/>
        <v/>
      </c>
      <c r="T56" s="21" t="str">
        <f t="shared" si="8"/>
        <v/>
      </c>
      <c r="U56" s="21" t="str">
        <f t="shared" si="9"/>
        <v/>
      </c>
      <c r="V56" s="21" t="str">
        <f t="shared" si="10"/>
        <v/>
      </c>
      <c r="W56" s="20"/>
      <c r="X56" s="20"/>
      <c r="Y56" s="20"/>
      <c r="Z56" s="20"/>
      <c r="AA56" s="20"/>
      <c r="AB56" s="20"/>
      <c r="AC56" s="20"/>
    </row>
    <row r="57" spans="1:29" s="22" customFormat="1" ht="15" customHeight="1" x14ac:dyDescent="0.25">
      <c r="A57" s="16" t="s">
        <v>79</v>
      </c>
      <c r="B57" s="17" t="s">
        <v>80</v>
      </c>
      <c r="C57" s="17" t="s">
        <v>37</v>
      </c>
      <c r="D57" s="17" t="s">
        <v>61</v>
      </c>
      <c r="E57" s="17">
        <v>0.5</v>
      </c>
      <c r="F57" s="18">
        <v>12</v>
      </c>
      <c r="G57" s="18">
        <v>13.5</v>
      </c>
      <c r="H57" s="18">
        <v>14</v>
      </c>
      <c r="I57" s="20">
        <v>28</v>
      </c>
      <c r="J57" s="20" t="s">
        <v>64</v>
      </c>
      <c r="K57" s="20"/>
      <c r="L57" s="20"/>
      <c r="M57" s="20"/>
      <c r="N57" s="20"/>
      <c r="O57" s="20"/>
      <c r="P57" s="20"/>
      <c r="Q57" s="20"/>
      <c r="R57" s="26">
        <f t="shared" si="2"/>
        <v>28</v>
      </c>
      <c r="S57" s="21" t="str">
        <f t="shared" si="7"/>
        <v/>
      </c>
      <c r="T57" s="21" t="str">
        <f t="shared" si="8"/>
        <v/>
      </c>
      <c r="U57" s="21" t="str">
        <f t="shared" si="9"/>
        <v/>
      </c>
      <c r="V57" s="21" t="str">
        <f t="shared" si="10"/>
        <v/>
      </c>
      <c r="W57" s="20"/>
      <c r="X57" s="21">
        <f>IF(OR(F2="GEARLESS",E2="TYPE L"),"",(INT((H2+1)*3/2))*4)</f>
        <v>28</v>
      </c>
      <c r="Y57" s="20"/>
      <c r="Z57" s="20"/>
      <c r="AA57" s="20"/>
      <c r="AB57" s="20"/>
      <c r="AC57" s="20"/>
    </row>
    <row r="58" spans="1:29" s="22" customFormat="1" ht="15" customHeight="1" x14ac:dyDescent="0.25">
      <c r="A58" s="16" t="s">
        <v>81</v>
      </c>
      <c r="B58" s="17" t="s">
        <v>82</v>
      </c>
      <c r="C58" s="17" t="s">
        <v>37</v>
      </c>
      <c r="D58" s="17" t="s">
        <v>61</v>
      </c>
      <c r="E58" s="17">
        <v>0.65</v>
      </c>
      <c r="F58" s="18">
        <v>15</v>
      </c>
      <c r="G58" s="18">
        <v>15.5</v>
      </c>
      <c r="H58" s="18">
        <v>16.5</v>
      </c>
      <c r="I58" s="20">
        <v>28</v>
      </c>
      <c r="J58" s="20"/>
      <c r="K58" s="20"/>
      <c r="L58" s="20"/>
      <c r="M58" s="20"/>
      <c r="N58" s="20"/>
      <c r="O58" s="20"/>
      <c r="P58" s="20"/>
      <c r="Q58" s="20"/>
      <c r="R58" s="26">
        <f t="shared" si="2"/>
        <v>28</v>
      </c>
      <c r="S58" s="21" t="str">
        <f t="shared" si="7"/>
        <v/>
      </c>
      <c r="T58" s="21" t="str">
        <f t="shared" si="8"/>
        <v/>
      </c>
      <c r="U58" s="21" t="str">
        <f t="shared" si="9"/>
        <v/>
      </c>
      <c r="V58" s="21" t="str">
        <f t="shared" si="10"/>
        <v/>
      </c>
      <c r="W58" s="20"/>
      <c r="X58" s="21">
        <f>IF(OR(F2="GEARLESS",E2="TYPE L"),"",(INT((H2+1)*3/2))*4)</f>
        <v>28</v>
      </c>
      <c r="Y58" s="20"/>
      <c r="Z58" s="20"/>
      <c r="AA58" s="20"/>
      <c r="AB58" s="20"/>
      <c r="AC58" s="20"/>
    </row>
    <row r="59" spans="1:29" s="22" customFormat="1" ht="15" customHeight="1" x14ac:dyDescent="0.25">
      <c r="A59" s="16" t="s">
        <v>83</v>
      </c>
      <c r="B59" s="17" t="s">
        <v>84</v>
      </c>
      <c r="C59" s="17" t="s">
        <v>37</v>
      </c>
      <c r="D59" s="17" t="s">
        <v>61</v>
      </c>
      <c r="E59" s="17">
        <v>0.11</v>
      </c>
      <c r="F59" s="18">
        <v>5</v>
      </c>
      <c r="G59" s="18">
        <v>5.25</v>
      </c>
      <c r="H59" s="18">
        <v>6.5</v>
      </c>
      <c r="I59" s="20">
        <v>28</v>
      </c>
      <c r="J59" s="20"/>
      <c r="K59" s="20"/>
      <c r="L59" s="20"/>
      <c r="M59" s="20"/>
      <c r="N59" s="20"/>
      <c r="O59" s="20"/>
      <c r="P59" s="20"/>
      <c r="Q59" s="20"/>
      <c r="R59" s="26">
        <f t="shared" si="2"/>
        <v>28</v>
      </c>
      <c r="S59" s="21" t="str">
        <f t="shared" si="7"/>
        <v/>
      </c>
      <c r="T59" s="21" t="str">
        <f t="shared" si="8"/>
        <v/>
      </c>
      <c r="U59" s="21" t="str">
        <f t="shared" si="9"/>
        <v/>
      </c>
      <c r="V59" s="21" t="str">
        <f t="shared" si="10"/>
        <v/>
      </c>
      <c r="W59" s="20"/>
      <c r="X59" s="21">
        <f>IF(F2="HYDRAULIQUE","",INT((H2+1)*3/2)*4)</f>
        <v>28</v>
      </c>
      <c r="Y59" s="20"/>
      <c r="Z59" s="20"/>
      <c r="AA59" s="20"/>
      <c r="AB59" s="20"/>
      <c r="AC59" s="20"/>
    </row>
    <row r="60" spans="1:29" s="22" customFormat="1" ht="15" customHeight="1" x14ac:dyDescent="0.25">
      <c r="A60" s="16" t="s">
        <v>85</v>
      </c>
      <c r="B60" s="17" t="s">
        <v>86</v>
      </c>
      <c r="C60" s="17" t="s">
        <v>37</v>
      </c>
      <c r="D60" s="17" t="s">
        <v>61</v>
      </c>
      <c r="E60" s="17">
        <v>0.12</v>
      </c>
      <c r="F60" s="18">
        <v>7</v>
      </c>
      <c r="G60" s="18">
        <v>7.5</v>
      </c>
      <c r="H60" s="18">
        <v>9</v>
      </c>
      <c r="I60" s="20">
        <v>28</v>
      </c>
      <c r="J60" s="20"/>
      <c r="K60" s="20"/>
      <c r="L60" s="20"/>
      <c r="M60" s="20"/>
      <c r="N60" s="20"/>
      <c r="O60" s="20"/>
      <c r="P60" s="20"/>
      <c r="Q60" s="20"/>
      <c r="R60" s="26">
        <f t="shared" si="2"/>
        <v>28</v>
      </c>
      <c r="S60" s="21" t="str">
        <f t="shared" si="7"/>
        <v/>
      </c>
      <c r="T60" s="21" t="str">
        <f t="shared" si="8"/>
        <v/>
      </c>
      <c r="U60" s="21" t="str">
        <f t="shared" si="9"/>
        <v/>
      </c>
      <c r="V60" s="21" t="str">
        <f t="shared" si="10"/>
        <v/>
      </c>
      <c r="W60" s="20"/>
      <c r="X60" s="21">
        <f>IF(F2="HYDRAULIQUE",INT((H2+1)*3/2)*4,IF(G2&gt;8,"",INT((H2+1)*3/2)*4))</f>
        <v>28</v>
      </c>
      <c r="Y60" s="20"/>
      <c r="Z60" s="20"/>
      <c r="AA60" s="20"/>
      <c r="AB60" s="20"/>
      <c r="AC60" s="20"/>
    </row>
    <row r="61" spans="1:29" s="22" customFormat="1" ht="15" customHeight="1" x14ac:dyDescent="0.25">
      <c r="A61" s="16" t="s">
        <v>87</v>
      </c>
      <c r="B61" s="17" t="s">
        <v>443</v>
      </c>
      <c r="C61" s="17" t="s">
        <v>37</v>
      </c>
      <c r="D61" s="17" t="s">
        <v>45</v>
      </c>
      <c r="E61" s="17">
        <v>0</v>
      </c>
      <c r="F61" s="18">
        <v>710</v>
      </c>
      <c r="G61" s="18">
        <v>750</v>
      </c>
      <c r="H61" s="18">
        <v>830</v>
      </c>
      <c r="I61" s="20"/>
      <c r="J61" s="20" t="s">
        <v>64</v>
      </c>
      <c r="K61" s="20"/>
      <c r="L61" s="20"/>
      <c r="M61" s="20"/>
      <c r="N61" s="20"/>
      <c r="O61" s="20"/>
      <c r="P61" s="20"/>
      <c r="Q61" s="20"/>
      <c r="R61" s="26" t="str">
        <f t="shared" si="2"/>
        <v/>
      </c>
      <c r="S61" s="21" t="str">
        <f t="shared" si="7"/>
        <v/>
      </c>
      <c r="T61" s="21" t="str">
        <f t="shared" si="8"/>
        <v/>
      </c>
      <c r="U61" s="21" t="str">
        <f t="shared" si="9"/>
        <v/>
      </c>
      <c r="V61" s="21" t="str">
        <f t="shared" si="10"/>
        <v/>
      </c>
      <c r="W61" s="20"/>
      <c r="X61" s="21" t="str">
        <f>IF(AND(F2="GEARLESS",E2&lt;&gt;"TYPE L"),INT((H2*3+3)/2),"")</f>
        <v/>
      </c>
      <c r="Y61" s="20"/>
      <c r="Z61" s="20"/>
      <c r="AA61" s="20"/>
      <c r="AB61" s="20"/>
      <c r="AC61" s="20"/>
    </row>
    <row r="62" spans="1:29" s="22" customFormat="1" ht="15" customHeight="1" x14ac:dyDescent="0.25">
      <c r="A62" s="16" t="s">
        <v>88</v>
      </c>
      <c r="B62" s="17" t="s">
        <v>89</v>
      </c>
      <c r="C62" s="17" t="s">
        <v>37</v>
      </c>
      <c r="D62" s="17" t="s">
        <v>61</v>
      </c>
      <c r="E62" s="17">
        <v>0.17</v>
      </c>
      <c r="F62" s="18">
        <v>13</v>
      </c>
      <c r="G62" s="18">
        <v>13.5</v>
      </c>
      <c r="H62" s="18">
        <v>15.2</v>
      </c>
      <c r="I62" s="20"/>
      <c r="J62" s="20" t="s">
        <v>64</v>
      </c>
      <c r="K62" s="20"/>
      <c r="L62" s="20"/>
      <c r="M62" s="20"/>
      <c r="N62" s="20"/>
      <c r="O62" s="20"/>
      <c r="P62" s="20"/>
      <c r="Q62" s="20"/>
      <c r="R62" s="26" t="str">
        <f t="shared" si="2"/>
        <v/>
      </c>
      <c r="S62" s="21" t="str">
        <f t="shared" si="7"/>
        <v/>
      </c>
      <c r="T62" s="21" t="str">
        <f t="shared" si="8"/>
        <v/>
      </c>
      <c r="U62" s="21" t="str">
        <f t="shared" si="9"/>
        <v/>
      </c>
      <c r="V62" s="21" t="str">
        <f t="shared" si="10"/>
        <v/>
      </c>
      <c r="W62" s="20"/>
      <c r="X62" s="21" t="str">
        <f>+IF(G2&gt;8,INT((H2+1)*3/2)*4,"")</f>
        <v/>
      </c>
      <c r="Y62" s="20"/>
      <c r="Z62" s="20"/>
      <c r="AA62" s="20"/>
      <c r="AB62" s="20"/>
      <c r="AC62" s="20"/>
    </row>
    <row r="63" spans="1:29" s="22" customFormat="1" ht="15" customHeight="1" x14ac:dyDescent="0.25">
      <c r="A63" s="16" t="s">
        <v>90</v>
      </c>
      <c r="B63" s="17" t="s">
        <v>322</v>
      </c>
      <c r="C63" s="17" t="s">
        <v>37</v>
      </c>
      <c r="D63" s="17" t="s">
        <v>45</v>
      </c>
      <c r="E63" s="17">
        <v>0</v>
      </c>
      <c r="F63" s="18">
        <f>50*9.8*1.7</f>
        <v>833.00000000000011</v>
      </c>
      <c r="G63" s="18">
        <f>50*9.8*1.7</f>
        <v>833.00000000000011</v>
      </c>
      <c r="H63" s="18">
        <f>50*9.8*1.7</f>
        <v>833.00000000000011</v>
      </c>
      <c r="I63" s="20"/>
      <c r="J63" s="20" t="s">
        <v>64</v>
      </c>
      <c r="K63" s="20"/>
      <c r="L63" s="20"/>
      <c r="M63" s="20"/>
      <c r="N63" s="20"/>
      <c r="O63" s="20"/>
      <c r="P63" s="20"/>
      <c r="Q63" s="20"/>
      <c r="R63" s="26" t="str">
        <f t="shared" si="2"/>
        <v/>
      </c>
      <c r="S63" s="21" t="str">
        <f t="shared" si="7"/>
        <v/>
      </c>
      <c r="T63" s="21" t="str">
        <f t="shared" si="8"/>
        <v/>
      </c>
      <c r="U63" s="21" t="str">
        <f t="shared" si="9"/>
        <v/>
      </c>
      <c r="V63" s="21" t="str">
        <f t="shared" si="10"/>
        <v/>
      </c>
      <c r="W63" s="20"/>
      <c r="X63" s="21" t="str">
        <f>IF(E2="TYPE L",INT((H2*3+2)/1.5)+1,"")</f>
        <v/>
      </c>
      <c r="Y63" s="20"/>
      <c r="Z63" s="20"/>
      <c r="AA63" s="20"/>
      <c r="AB63" s="20"/>
      <c r="AC63" s="20"/>
    </row>
    <row r="64" spans="1:29" s="22" customFormat="1" ht="15" customHeight="1" x14ac:dyDescent="0.25">
      <c r="A64" s="16" t="s">
        <v>91</v>
      </c>
      <c r="B64" s="17" t="s">
        <v>92</v>
      </c>
      <c r="C64" s="17" t="s">
        <v>37</v>
      </c>
      <c r="D64" s="17" t="s">
        <v>61</v>
      </c>
      <c r="E64" s="17">
        <v>0.02</v>
      </c>
      <c r="F64" s="18">
        <v>1.3</v>
      </c>
      <c r="G64" s="18">
        <v>1.5</v>
      </c>
      <c r="H64" s="18">
        <v>1.8</v>
      </c>
      <c r="I64" s="20">
        <v>56</v>
      </c>
      <c r="J64" s="20" t="s">
        <v>64</v>
      </c>
      <c r="K64" s="20"/>
      <c r="L64" s="20"/>
      <c r="M64" s="20"/>
      <c r="N64" s="20"/>
      <c r="O64" s="20"/>
      <c r="P64" s="20"/>
      <c r="Q64" s="20"/>
      <c r="R64" s="26">
        <f t="shared" si="2"/>
        <v>56</v>
      </c>
      <c r="S64" s="21" t="str">
        <f t="shared" si="7"/>
        <v/>
      </c>
      <c r="T64" s="21" t="str">
        <f t="shared" si="8"/>
        <v/>
      </c>
      <c r="U64" s="21" t="str">
        <f t="shared" si="9"/>
        <v/>
      </c>
      <c r="V64" s="21" t="str">
        <f t="shared" si="10"/>
        <v/>
      </c>
      <c r="W64" s="20"/>
      <c r="X64" s="21">
        <f>IF(F2="HYDRAULIQUE","",X69*8)</f>
        <v>56</v>
      </c>
      <c r="Y64" s="20"/>
      <c r="Z64" s="20"/>
      <c r="AA64" s="20"/>
      <c r="AB64" s="20"/>
      <c r="AC64" s="20"/>
    </row>
    <row r="65" spans="1:29" s="22" customFormat="1" ht="15" customHeight="1" x14ac:dyDescent="0.25">
      <c r="A65" s="16" t="s">
        <v>93</v>
      </c>
      <c r="B65" s="17" t="s">
        <v>94</v>
      </c>
      <c r="C65" s="17" t="s">
        <v>37</v>
      </c>
      <c r="D65" s="17" t="s">
        <v>61</v>
      </c>
      <c r="E65" s="17">
        <v>0.04</v>
      </c>
      <c r="F65" s="27">
        <v>3.1191994829109597</v>
      </c>
      <c r="G65" s="27">
        <v>3.2064994829109597</v>
      </c>
      <c r="H65" s="27">
        <v>3.5319540658219197</v>
      </c>
      <c r="I65" s="20">
        <v>56</v>
      </c>
      <c r="J65" s="20" t="s">
        <v>64</v>
      </c>
      <c r="K65" s="20"/>
      <c r="L65" s="20"/>
      <c r="M65" s="20"/>
      <c r="N65" s="20"/>
      <c r="O65" s="20"/>
      <c r="P65" s="20"/>
      <c r="Q65" s="20"/>
      <c r="R65" s="26">
        <f t="shared" si="2"/>
        <v>56</v>
      </c>
      <c r="S65" s="21" t="str">
        <f t="shared" si="7"/>
        <v/>
      </c>
      <c r="T65" s="21" t="str">
        <f t="shared" si="8"/>
        <v/>
      </c>
      <c r="U65" s="21" t="str">
        <f t="shared" si="9"/>
        <v/>
      </c>
      <c r="V65" s="21" t="str">
        <f t="shared" si="10"/>
        <v/>
      </c>
      <c r="W65" s="20"/>
      <c r="X65" s="21">
        <f>IF(OR(F2="GEARLESS",E2="TYPE L"),"",X57*2)</f>
        <v>56</v>
      </c>
      <c r="Y65" s="20"/>
      <c r="Z65" s="20"/>
      <c r="AA65" s="20"/>
      <c r="AB65" s="20"/>
      <c r="AC65" s="20"/>
    </row>
    <row r="66" spans="1:29" s="22" customFormat="1" ht="15" customHeight="1" x14ac:dyDescent="0.25">
      <c r="A66" s="16" t="s">
        <v>95</v>
      </c>
      <c r="B66" s="17" t="s">
        <v>96</v>
      </c>
      <c r="C66" s="17" t="s">
        <v>37</v>
      </c>
      <c r="D66" s="17" t="s">
        <v>61</v>
      </c>
      <c r="E66" s="17">
        <v>0.05</v>
      </c>
      <c r="F66" s="18">
        <v>3.3926522258160006</v>
      </c>
      <c r="G66" s="18">
        <v>3.4896522258160005</v>
      </c>
      <c r="H66" s="18">
        <v>3.8512684516319999</v>
      </c>
      <c r="I66" s="20">
        <v>56</v>
      </c>
      <c r="J66" s="20" t="s">
        <v>64</v>
      </c>
      <c r="K66" s="20"/>
      <c r="L66" s="20"/>
      <c r="M66" s="20"/>
      <c r="N66" s="20"/>
      <c r="O66" s="20"/>
      <c r="P66" s="20"/>
      <c r="Q66" s="20"/>
      <c r="R66" s="26">
        <f t="shared" ref="R66:R97" si="11">IF(SUM(S66:AC66)&lt;&gt;0,SUM(S66:AC66),"")</f>
        <v>56</v>
      </c>
      <c r="S66" s="21" t="str">
        <f t="shared" si="7"/>
        <v/>
      </c>
      <c r="T66" s="21" t="str">
        <f t="shared" si="8"/>
        <v/>
      </c>
      <c r="U66" s="21" t="str">
        <f t="shared" si="9"/>
        <v/>
      </c>
      <c r="V66" s="21" t="str">
        <f t="shared" si="10"/>
        <v/>
      </c>
      <c r="W66" s="20"/>
      <c r="X66" s="21">
        <f>IF(X70&lt;&gt;"",X70*8,X72*8)</f>
        <v>56</v>
      </c>
      <c r="Y66" s="20"/>
      <c r="Z66" s="20"/>
      <c r="AA66" s="20"/>
      <c r="AB66" s="20"/>
      <c r="AC66" s="20"/>
    </row>
    <row r="67" spans="1:29" s="22" customFormat="1" ht="15" customHeight="1" x14ac:dyDescent="0.25">
      <c r="A67" s="16" t="s">
        <v>97</v>
      </c>
      <c r="B67" s="17" t="s">
        <v>98</v>
      </c>
      <c r="C67" s="17" t="s">
        <v>37</v>
      </c>
      <c r="D67" s="17" t="s">
        <v>61</v>
      </c>
      <c r="E67" s="17">
        <v>0</v>
      </c>
      <c r="F67" s="18">
        <v>5.6812910080859993</v>
      </c>
      <c r="G67" s="18">
        <v>5.8267910080859995</v>
      </c>
      <c r="H67" s="18">
        <v>6.3692155161719999</v>
      </c>
      <c r="I67" s="20">
        <v>6</v>
      </c>
      <c r="J67" s="20" t="s">
        <v>64</v>
      </c>
      <c r="K67" s="20"/>
      <c r="L67" s="20"/>
      <c r="M67" s="20"/>
      <c r="N67" s="20"/>
      <c r="O67" s="20"/>
      <c r="P67" s="20"/>
      <c r="Q67" s="20"/>
      <c r="R67" s="26">
        <f t="shared" si="11"/>
        <v>6</v>
      </c>
      <c r="S67" s="21" t="str">
        <f t="shared" si="7"/>
        <v/>
      </c>
      <c r="T67" s="21" t="str">
        <f t="shared" si="8"/>
        <v/>
      </c>
      <c r="U67" s="21" t="str">
        <f t="shared" si="9"/>
        <v/>
      </c>
      <c r="V67" s="21" t="str">
        <f t="shared" si="10"/>
        <v/>
      </c>
      <c r="W67" s="20"/>
      <c r="X67" s="21">
        <v>6</v>
      </c>
      <c r="Y67" s="20"/>
      <c r="Z67" s="20"/>
      <c r="AA67" s="20"/>
      <c r="AB67" s="20"/>
      <c r="AC67" s="20"/>
    </row>
    <row r="68" spans="1:29" s="22" customFormat="1" ht="15" customHeight="1" x14ac:dyDescent="0.25">
      <c r="A68" s="16" t="s">
        <v>99</v>
      </c>
      <c r="B68" s="17" t="s">
        <v>100</v>
      </c>
      <c r="C68" s="17" t="s">
        <v>37</v>
      </c>
      <c r="D68" s="17" t="s">
        <v>61</v>
      </c>
      <c r="E68" s="17">
        <v>0.09</v>
      </c>
      <c r="F68" s="18">
        <v>4.3</v>
      </c>
      <c r="G68" s="18">
        <v>4.5</v>
      </c>
      <c r="H68" s="18">
        <v>5</v>
      </c>
      <c r="I68" s="20">
        <v>84</v>
      </c>
      <c r="J68" s="20" t="s">
        <v>64</v>
      </c>
      <c r="K68" s="20"/>
      <c r="L68" s="20"/>
      <c r="M68" s="20"/>
      <c r="N68" s="20"/>
      <c r="O68" s="20"/>
      <c r="P68" s="20"/>
      <c r="Q68" s="20"/>
      <c r="R68" s="26">
        <f t="shared" si="11"/>
        <v>84</v>
      </c>
      <c r="S68" s="21" t="str">
        <f t="shared" si="7"/>
        <v/>
      </c>
      <c r="T68" s="21" t="str">
        <f t="shared" si="8"/>
        <v/>
      </c>
      <c r="U68" s="21" t="str">
        <f t="shared" si="9"/>
        <v/>
      </c>
      <c r="V68" s="21" t="str">
        <f t="shared" si="10"/>
        <v/>
      </c>
      <c r="W68" s="20"/>
      <c r="X68" s="21">
        <f>IF(E2="TYPE L",(H2*5)+20+INT((3*H2+2)*4/1.5)+1,IF(F2="GEARLESS",(H2*5)+20,2*X57+(H2*5)+8))</f>
        <v>84</v>
      </c>
      <c r="Y68" s="20"/>
      <c r="Z68" s="20"/>
      <c r="AA68" s="20"/>
      <c r="AB68" s="20"/>
      <c r="AC68" s="20"/>
    </row>
    <row r="69" spans="1:29" s="22" customFormat="1" ht="15" customHeight="1" x14ac:dyDescent="0.25">
      <c r="A69" s="16" t="s">
        <v>101</v>
      </c>
      <c r="B69" s="17" t="s">
        <v>102</v>
      </c>
      <c r="C69" s="17" t="s">
        <v>37</v>
      </c>
      <c r="D69" s="17" t="s">
        <v>61</v>
      </c>
      <c r="E69" s="17">
        <v>27</v>
      </c>
      <c r="F69" s="18">
        <v>295</v>
      </c>
      <c r="G69" s="18">
        <v>310</v>
      </c>
      <c r="H69" s="18">
        <v>350</v>
      </c>
      <c r="I69" s="20">
        <v>7</v>
      </c>
      <c r="J69" s="20" t="s">
        <v>64</v>
      </c>
      <c r="K69" s="20"/>
      <c r="L69" s="20"/>
      <c r="M69" s="20"/>
      <c r="N69" s="20"/>
      <c r="O69" s="20"/>
      <c r="P69" s="20"/>
      <c r="Q69" s="20"/>
      <c r="R69" s="26">
        <f t="shared" si="11"/>
        <v>7</v>
      </c>
      <c r="S69" s="21" t="str">
        <f t="shared" si="7"/>
        <v/>
      </c>
      <c r="T69" s="21" t="str">
        <f t="shared" si="8"/>
        <v/>
      </c>
      <c r="U69" s="21" t="str">
        <f t="shared" si="9"/>
        <v/>
      </c>
      <c r="V69" s="21" t="str">
        <f t="shared" si="10"/>
        <v/>
      </c>
      <c r="W69" s="20"/>
      <c r="X69" s="21">
        <f>IF(F2="HYDRAULIQUE","",(INT((H2+1)*3*2/5)+1))</f>
        <v>7</v>
      </c>
      <c r="Y69" s="20"/>
      <c r="Z69" s="20"/>
      <c r="AA69" s="20"/>
      <c r="AB69" s="20"/>
      <c r="AC69" s="20"/>
    </row>
    <row r="70" spans="1:29" s="22" customFormat="1" ht="15" customHeight="1" x14ac:dyDescent="0.25">
      <c r="A70" s="16" t="s">
        <v>103</v>
      </c>
      <c r="B70" s="17" t="s">
        <v>104</v>
      </c>
      <c r="C70" s="17" t="s">
        <v>37</v>
      </c>
      <c r="D70" s="17" t="s">
        <v>61</v>
      </c>
      <c r="E70" s="17">
        <v>51</v>
      </c>
      <c r="F70" s="18">
        <v>645</v>
      </c>
      <c r="G70" s="18">
        <v>660</v>
      </c>
      <c r="H70" s="18">
        <v>715</v>
      </c>
      <c r="I70" s="20">
        <v>7</v>
      </c>
      <c r="J70" s="20"/>
      <c r="K70" s="20"/>
      <c r="L70" s="20"/>
      <c r="M70" s="20"/>
      <c r="N70" s="20"/>
      <c r="O70" s="20"/>
      <c r="P70" s="20"/>
      <c r="Q70" s="20"/>
      <c r="R70" s="26">
        <f t="shared" si="11"/>
        <v>7</v>
      </c>
      <c r="S70" s="21" t="str">
        <f t="shared" si="7"/>
        <v/>
      </c>
      <c r="T70" s="21" t="str">
        <f t="shared" si="8"/>
        <v/>
      </c>
      <c r="U70" s="21" t="str">
        <f t="shared" si="9"/>
        <v/>
      </c>
      <c r="V70" s="21" t="str">
        <f t="shared" si="10"/>
        <v/>
      </c>
      <c r="W70" s="20"/>
      <c r="X70" s="21">
        <f>IF(F2="HYDRAULIQUE","",IF(G2&gt;8,"",X69))</f>
        <v>7</v>
      </c>
      <c r="Y70" s="20"/>
      <c r="Z70" s="20"/>
      <c r="AA70" s="20"/>
      <c r="AB70" s="20"/>
      <c r="AC70" s="20"/>
    </row>
    <row r="71" spans="1:29" s="22" customFormat="1" ht="15" customHeight="1" x14ac:dyDescent="0.25">
      <c r="A71" s="16" t="s">
        <v>105</v>
      </c>
      <c r="B71" s="17" t="s">
        <v>106</v>
      </c>
      <c r="C71" s="17" t="s">
        <v>37</v>
      </c>
      <c r="D71" s="17" t="s">
        <v>45</v>
      </c>
      <c r="E71" s="17">
        <v>0.36</v>
      </c>
      <c r="F71" s="18">
        <v>940</v>
      </c>
      <c r="G71" s="18">
        <v>970</v>
      </c>
      <c r="H71" s="18">
        <v>1065</v>
      </c>
      <c r="I71" s="20"/>
      <c r="J71" s="20"/>
      <c r="K71" s="20"/>
      <c r="L71" s="20"/>
      <c r="M71" s="20"/>
      <c r="N71" s="20"/>
      <c r="O71" s="20"/>
      <c r="P71" s="20"/>
      <c r="Q71" s="20"/>
      <c r="R71" s="26" t="str">
        <f t="shared" si="11"/>
        <v/>
      </c>
      <c r="S71" s="21" t="str">
        <f t="shared" si="7"/>
        <v/>
      </c>
      <c r="T71" s="21" t="str">
        <f t="shared" si="8"/>
        <v/>
      </c>
      <c r="U71" s="21" t="str">
        <f t="shared" si="9"/>
        <v/>
      </c>
      <c r="V71" s="21" t="str">
        <f t="shared" si="10"/>
        <v/>
      </c>
      <c r="W71" s="20"/>
      <c r="X71" s="20"/>
      <c r="Y71" s="20"/>
      <c r="Z71" s="20"/>
      <c r="AA71" s="20"/>
      <c r="AB71" s="20"/>
      <c r="AC71" s="20"/>
    </row>
    <row r="72" spans="1:29" s="22" customFormat="1" ht="15" customHeight="1" x14ac:dyDescent="0.25">
      <c r="A72" s="16" t="s">
        <v>107</v>
      </c>
      <c r="B72" s="17" t="s">
        <v>374</v>
      </c>
      <c r="C72" s="17" t="s">
        <v>37</v>
      </c>
      <c r="D72" s="17" t="s">
        <v>61</v>
      </c>
      <c r="E72" s="17">
        <v>0</v>
      </c>
      <c r="F72" s="18">
        <v>1100</v>
      </c>
      <c r="G72" s="18">
        <v>1147.9463768149999</v>
      </c>
      <c r="H72" s="18">
        <v>1265.4954286300001</v>
      </c>
      <c r="I72" s="20"/>
      <c r="J72" s="20" t="s">
        <v>64</v>
      </c>
      <c r="K72" s="20"/>
      <c r="L72" s="20"/>
      <c r="M72" s="20"/>
      <c r="N72" s="20"/>
      <c r="O72" s="20"/>
      <c r="P72" s="20"/>
      <c r="Q72" s="20"/>
      <c r="R72" s="26" t="str">
        <f t="shared" si="11"/>
        <v/>
      </c>
      <c r="S72" s="21" t="str">
        <f t="shared" si="7"/>
        <v/>
      </c>
      <c r="T72" s="21" t="str">
        <f t="shared" si="8"/>
        <v/>
      </c>
      <c r="U72" s="21" t="str">
        <f t="shared" si="9"/>
        <v/>
      </c>
      <c r="V72" s="21" t="str">
        <f t="shared" si="10"/>
        <v/>
      </c>
      <c r="W72" s="20"/>
      <c r="X72" s="21" t="str">
        <f>IF(F2="HYDRAULIQUE",(INT((H2+1)*3*2/5)+1),IF(G2&lt;=8,"",(INT((H2+1)*3*2/5)+1)))</f>
        <v/>
      </c>
      <c r="Y72" s="20"/>
      <c r="Z72" s="20"/>
      <c r="AA72" s="20"/>
      <c r="AB72" s="20"/>
      <c r="AC72" s="20"/>
    </row>
    <row r="73" spans="1:29" s="22" customFormat="1" ht="15" customHeight="1" x14ac:dyDescent="0.25">
      <c r="A73" s="16" t="s">
        <v>108</v>
      </c>
      <c r="B73" s="17" t="s">
        <v>375</v>
      </c>
      <c r="C73" s="17" t="s">
        <v>37</v>
      </c>
      <c r="D73" s="17" t="s">
        <v>45</v>
      </c>
      <c r="E73" s="17">
        <v>0.14000000000000001</v>
      </c>
      <c r="F73" s="18">
        <v>9</v>
      </c>
      <c r="G73" s="18">
        <v>13</v>
      </c>
      <c r="H73" s="18">
        <v>20</v>
      </c>
      <c r="I73" s="20"/>
      <c r="J73" s="20" t="s">
        <v>64</v>
      </c>
      <c r="K73" s="20"/>
      <c r="L73" s="20"/>
      <c r="M73" s="20"/>
      <c r="N73" s="20"/>
      <c r="O73" s="20"/>
      <c r="P73" s="20"/>
      <c r="Q73" s="20"/>
      <c r="R73" s="26" t="str">
        <f t="shared" si="11"/>
        <v/>
      </c>
      <c r="S73" s="21" t="str">
        <f t="shared" si="7"/>
        <v/>
      </c>
      <c r="T73" s="21" t="str">
        <f t="shared" si="8"/>
        <v/>
      </c>
      <c r="U73" s="21" t="str">
        <f t="shared" si="9"/>
        <v/>
      </c>
      <c r="V73" s="21" t="str">
        <f t="shared" si="10"/>
        <v/>
      </c>
      <c r="W73" s="20"/>
      <c r="X73" s="20"/>
      <c r="Y73" s="20"/>
      <c r="Z73" s="20"/>
      <c r="AA73" s="20"/>
      <c r="AB73" s="20"/>
      <c r="AC73" s="20"/>
    </row>
    <row r="74" spans="1:29" s="22" customFormat="1" ht="15" customHeight="1" x14ac:dyDescent="0.25">
      <c r="A74" s="16" t="s">
        <v>109</v>
      </c>
      <c r="B74" s="17" t="s">
        <v>110</v>
      </c>
      <c r="C74" s="17" t="s">
        <v>38</v>
      </c>
      <c r="D74" s="17" t="s">
        <v>111</v>
      </c>
      <c r="E74" s="17">
        <v>0.4</v>
      </c>
      <c r="F74" s="18">
        <v>16.5</v>
      </c>
      <c r="G74" s="18">
        <v>17</v>
      </c>
      <c r="H74" s="18">
        <v>18</v>
      </c>
      <c r="I74" s="20">
        <v>80</v>
      </c>
      <c r="J74" s="20" t="s">
        <v>64</v>
      </c>
      <c r="K74" s="20"/>
      <c r="L74" s="20"/>
      <c r="M74" s="20"/>
      <c r="N74" s="20"/>
      <c r="O74" s="20"/>
      <c r="P74" s="20"/>
      <c r="Q74" s="20"/>
      <c r="R74" s="26">
        <f t="shared" si="11"/>
        <v>80</v>
      </c>
      <c r="S74" s="21" t="str">
        <f t="shared" si="7"/>
        <v/>
      </c>
      <c r="T74" s="21" t="str">
        <f t="shared" si="8"/>
        <v/>
      </c>
      <c r="U74" s="21" t="str">
        <f t="shared" si="9"/>
        <v/>
      </c>
      <c r="V74" s="21" t="str">
        <f t="shared" si="10"/>
        <v/>
      </c>
      <c r="W74" s="20"/>
      <c r="X74" s="20"/>
      <c r="Y74" s="21">
        <f>+IF(F2="GEARLESS","",IF(G2&lt;=4,4*(H2*3+3+5),IF(F2="HYDRAULIQUE",2*(H2*3+3+5),5*(H2*3+3+5))))</f>
        <v>80</v>
      </c>
      <c r="Z74" s="20"/>
      <c r="AA74" s="20"/>
      <c r="AB74" s="20"/>
      <c r="AC74" s="20"/>
    </row>
    <row r="75" spans="1:29" s="22" customFormat="1" ht="15" customHeight="1" x14ac:dyDescent="0.25">
      <c r="A75" s="16" t="s">
        <v>112</v>
      </c>
      <c r="B75" s="17" t="s">
        <v>376</v>
      </c>
      <c r="C75" s="17" t="s">
        <v>38</v>
      </c>
      <c r="D75" s="17" t="s">
        <v>111</v>
      </c>
      <c r="E75" s="17">
        <v>0</v>
      </c>
      <c r="F75" s="19">
        <v>16.5</v>
      </c>
      <c r="G75" s="19">
        <v>17</v>
      </c>
      <c r="H75" s="19">
        <v>18</v>
      </c>
      <c r="I75" s="20"/>
      <c r="J75" s="20"/>
      <c r="K75" s="20"/>
      <c r="L75" s="20"/>
      <c r="M75" s="20"/>
      <c r="N75" s="20"/>
      <c r="O75" s="20"/>
      <c r="P75" s="20"/>
      <c r="Q75" s="20"/>
      <c r="R75" s="26" t="str">
        <f t="shared" si="11"/>
        <v/>
      </c>
      <c r="S75" s="21" t="str">
        <f t="shared" si="7"/>
        <v/>
      </c>
      <c r="T75" s="21" t="str">
        <f t="shared" si="8"/>
        <v/>
      </c>
      <c r="U75" s="21" t="str">
        <f t="shared" si="9"/>
        <v/>
      </c>
      <c r="V75" s="21" t="str">
        <f t="shared" si="10"/>
        <v/>
      </c>
      <c r="W75" s="20"/>
      <c r="X75" s="20"/>
      <c r="Y75" s="21" t="str">
        <f>+IF(F2="GEARLESS",IF(G2&lt;=5,G2*(2*(H2*3+3)+5),(G2-INT((G2-4)/2))*(2*(H2*3+3)+5)),"")</f>
        <v/>
      </c>
      <c r="Z75" s="20"/>
      <c r="AA75" s="20"/>
      <c r="AB75" s="20"/>
      <c r="AC75" s="20"/>
    </row>
    <row r="76" spans="1:29" s="22" customFormat="1" ht="15" customHeight="1" x14ac:dyDescent="0.25">
      <c r="A76" s="16" t="s">
        <v>113</v>
      </c>
      <c r="B76" s="17" t="s">
        <v>114</v>
      </c>
      <c r="C76" s="17" t="s">
        <v>38</v>
      </c>
      <c r="D76" s="17" t="s">
        <v>111</v>
      </c>
      <c r="E76" s="17">
        <v>0.22</v>
      </c>
      <c r="F76" s="18">
        <v>6.5</v>
      </c>
      <c r="G76" s="18">
        <v>6.9</v>
      </c>
      <c r="H76" s="18">
        <v>7.7</v>
      </c>
      <c r="I76" s="20">
        <v>27</v>
      </c>
      <c r="J76" s="20"/>
      <c r="K76" s="20"/>
      <c r="L76" s="20"/>
      <c r="M76" s="20"/>
      <c r="N76" s="20"/>
      <c r="O76" s="20"/>
      <c r="P76" s="20"/>
      <c r="Q76" s="20"/>
      <c r="R76" s="26">
        <f t="shared" si="11"/>
        <v>27</v>
      </c>
      <c r="S76" s="21" t="str">
        <f t="shared" si="7"/>
        <v/>
      </c>
      <c r="T76" s="21" t="str">
        <f t="shared" si="8"/>
        <v/>
      </c>
      <c r="U76" s="21" t="str">
        <f t="shared" si="9"/>
        <v/>
      </c>
      <c r="V76" s="21" t="str">
        <f t="shared" si="10"/>
        <v/>
      </c>
      <c r="W76" s="20"/>
      <c r="X76" s="20"/>
      <c r="Y76" s="21">
        <f>IF(F2="HYDRAULIQUE","",(H2*3*2+3))</f>
        <v>27</v>
      </c>
      <c r="Z76" s="20"/>
      <c r="AA76" s="20"/>
      <c r="AB76" s="20"/>
      <c r="AC76" s="20"/>
    </row>
    <row r="77" spans="1:29" s="22" customFormat="1" ht="15" customHeight="1" x14ac:dyDescent="0.25">
      <c r="A77" s="16" t="s">
        <v>115</v>
      </c>
      <c r="B77" s="17" t="s">
        <v>116</v>
      </c>
      <c r="C77" s="17" t="s">
        <v>38</v>
      </c>
      <c r="D77" s="17" t="s">
        <v>61</v>
      </c>
      <c r="E77" s="17">
        <v>1.0900000000000001</v>
      </c>
      <c r="F77" s="18">
        <v>73</v>
      </c>
      <c r="G77" s="18">
        <v>77</v>
      </c>
      <c r="H77" s="18">
        <v>87</v>
      </c>
      <c r="I77" s="20">
        <v>8</v>
      </c>
      <c r="J77" s="20" t="s">
        <v>64</v>
      </c>
      <c r="K77" s="20"/>
      <c r="L77" s="20"/>
      <c r="M77" s="20"/>
      <c r="N77" s="20"/>
      <c r="O77" s="20"/>
      <c r="P77" s="20"/>
      <c r="Q77" s="20"/>
      <c r="R77" s="26">
        <f t="shared" si="11"/>
        <v>8</v>
      </c>
      <c r="S77" s="21" t="str">
        <f t="shared" si="7"/>
        <v/>
      </c>
      <c r="T77" s="21" t="str">
        <f t="shared" si="8"/>
        <v/>
      </c>
      <c r="U77" s="21" t="str">
        <f t="shared" si="9"/>
        <v/>
      </c>
      <c r="V77" s="21" t="str">
        <f t="shared" si="10"/>
        <v/>
      </c>
      <c r="W77" s="20"/>
      <c r="X77" s="20"/>
      <c r="Y77" s="21">
        <f>+IF(F2="GEARLESS","",IF(F2="HYDRAULIQUE",4,IF(G2&lt;=4,4*2,5*2)))</f>
        <v>8</v>
      </c>
      <c r="Z77" s="20"/>
      <c r="AA77" s="20"/>
      <c r="AB77" s="20"/>
      <c r="AC77" s="20"/>
    </row>
    <row r="78" spans="1:29" s="22" customFormat="1" ht="15" customHeight="1" x14ac:dyDescent="0.25">
      <c r="A78" s="16" t="s">
        <v>117</v>
      </c>
      <c r="B78" s="17" t="s">
        <v>377</v>
      </c>
      <c r="C78" s="17" t="s">
        <v>38</v>
      </c>
      <c r="D78" s="17" t="s">
        <v>61</v>
      </c>
      <c r="E78" s="17">
        <v>0</v>
      </c>
      <c r="F78" s="28">
        <v>73</v>
      </c>
      <c r="G78" s="28">
        <v>77</v>
      </c>
      <c r="H78" s="28">
        <v>87</v>
      </c>
      <c r="I78" s="20"/>
      <c r="J78" s="20" t="s">
        <v>64</v>
      </c>
      <c r="K78" s="20"/>
      <c r="L78" s="20"/>
      <c r="M78" s="20"/>
      <c r="N78" s="20"/>
      <c r="O78" s="20"/>
      <c r="P78" s="20"/>
      <c r="Q78" s="20"/>
      <c r="R78" s="26" t="str">
        <f t="shared" si="11"/>
        <v/>
      </c>
      <c r="S78" s="21" t="str">
        <f t="shared" si="7"/>
        <v/>
      </c>
      <c r="T78" s="21" t="str">
        <f t="shared" si="8"/>
        <v/>
      </c>
      <c r="U78" s="21" t="str">
        <f t="shared" si="9"/>
        <v/>
      </c>
      <c r="V78" s="21" t="str">
        <f t="shared" si="10"/>
        <v/>
      </c>
      <c r="W78" s="20"/>
      <c r="X78" s="20"/>
      <c r="Y78" s="21" t="str">
        <f>+IF(F2="GEARLESS",IF(G2&lt;=5,G2*2,(G2-1*INT((G2-4)/2))*2),"")</f>
        <v/>
      </c>
      <c r="Z78" s="20"/>
      <c r="AA78" s="20"/>
      <c r="AB78" s="20"/>
      <c r="AC78" s="20"/>
    </row>
    <row r="79" spans="1:29" s="22" customFormat="1" ht="15" customHeight="1" x14ac:dyDescent="0.25">
      <c r="A79" s="16" t="s">
        <v>118</v>
      </c>
      <c r="B79" s="17" t="s">
        <v>119</v>
      </c>
      <c r="C79" s="17" t="s">
        <v>38</v>
      </c>
      <c r="D79" s="17" t="s">
        <v>61</v>
      </c>
      <c r="E79" s="17">
        <v>7.0000000000000007E-2</v>
      </c>
      <c r="F79" s="28">
        <v>6.5</v>
      </c>
      <c r="G79" s="28">
        <v>6.9</v>
      </c>
      <c r="H79" s="28">
        <v>7.5</v>
      </c>
      <c r="I79" s="20">
        <v>24</v>
      </c>
      <c r="J79" s="20" t="s">
        <v>64</v>
      </c>
      <c r="K79" s="20"/>
      <c r="L79" s="20"/>
      <c r="M79" s="20"/>
      <c r="N79" s="20"/>
      <c r="O79" s="20"/>
      <c r="P79" s="20"/>
      <c r="Q79" s="20"/>
      <c r="R79" s="26">
        <f t="shared" si="11"/>
        <v>24</v>
      </c>
      <c r="S79" s="21" t="str">
        <f t="shared" si="7"/>
        <v/>
      </c>
      <c r="T79" s="21" t="str">
        <f t="shared" si="8"/>
        <v/>
      </c>
      <c r="U79" s="21" t="str">
        <f t="shared" si="9"/>
        <v/>
      </c>
      <c r="V79" s="21" t="str">
        <f t="shared" si="10"/>
        <v/>
      </c>
      <c r="W79" s="20"/>
      <c r="X79" s="20"/>
      <c r="Y79" s="21">
        <f>+IF(F2="GEARLESS","",Y77*3)</f>
        <v>24</v>
      </c>
      <c r="Z79" s="20"/>
      <c r="AA79" s="20"/>
      <c r="AB79" s="20"/>
      <c r="AC79" s="20"/>
    </row>
    <row r="80" spans="1:29" s="22" customFormat="1" ht="15" customHeight="1" x14ac:dyDescent="0.25">
      <c r="A80" s="16" t="s">
        <v>120</v>
      </c>
      <c r="B80" s="17" t="s">
        <v>378</v>
      </c>
      <c r="C80" s="17" t="s">
        <v>38</v>
      </c>
      <c r="D80" s="17" t="s">
        <v>61</v>
      </c>
      <c r="E80" s="17">
        <v>0</v>
      </c>
      <c r="F80" s="18">
        <v>4</v>
      </c>
      <c r="G80" s="18">
        <v>4.2</v>
      </c>
      <c r="H80" s="18">
        <v>4.8</v>
      </c>
      <c r="I80" s="20"/>
      <c r="J80" s="20" t="s">
        <v>64</v>
      </c>
      <c r="K80" s="20"/>
      <c r="L80" s="20"/>
      <c r="M80" s="20"/>
      <c r="N80" s="20"/>
      <c r="O80" s="20"/>
      <c r="P80" s="20"/>
      <c r="Q80" s="20"/>
      <c r="R80" s="26" t="str">
        <f t="shared" si="11"/>
        <v/>
      </c>
      <c r="S80" s="21" t="str">
        <f t="shared" si="7"/>
        <v/>
      </c>
      <c r="T80" s="21" t="str">
        <f t="shared" si="8"/>
        <v/>
      </c>
      <c r="U80" s="21" t="str">
        <f t="shared" si="9"/>
        <v/>
      </c>
      <c r="V80" s="21" t="str">
        <f t="shared" si="10"/>
        <v/>
      </c>
      <c r="W80" s="20"/>
      <c r="X80" s="20"/>
      <c r="Y80" s="21" t="str">
        <f>+IF(F2="GEARLESS",Y78*3,"")</f>
        <v/>
      </c>
      <c r="Z80" s="20"/>
      <c r="AA80" s="20"/>
      <c r="AB80" s="20"/>
      <c r="AC80" s="20"/>
    </row>
    <row r="81" spans="1:29" s="22" customFormat="1" ht="15" customHeight="1" x14ac:dyDescent="0.25">
      <c r="A81" s="16" t="s">
        <v>121</v>
      </c>
      <c r="B81" s="17" t="s">
        <v>122</v>
      </c>
      <c r="C81" s="17" t="s">
        <v>38</v>
      </c>
      <c r="D81" s="17" t="s">
        <v>61</v>
      </c>
      <c r="E81" s="17">
        <v>0.01</v>
      </c>
      <c r="F81" s="18">
        <v>4</v>
      </c>
      <c r="G81" s="18">
        <v>4.2</v>
      </c>
      <c r="H81" s="18">
        <v>4.8</v>
      </c>
      <c r="I81" s="20">
        <v>6</v>
      </c>
      <c r="J81" s="20" t="s">
        <v>64</v>
      </c>
      <c r="K81" s="20"/>
      <c r="L81" s="20"/>
      <c r="M81" s="20"/>
      <c r="N81" s="20"/>
      <c r="O81" s="20"/>
      <c r="P81" s="20"/>
      <c r="Q81" s="20"/>
      <c r="R81" s="26">
        <f t="shared" si="11"/>
        <v>6</v>
      </c>
      <c r="S81" s="21" t="str">
        <f t="shared" si="7"/>
        <v/>
      </c>
      <c r="T81" s="21" t="str">
        <f t="shared" si="8"/>
        <v/>
      </c>
      <c r="U81" s="21" t="str">
        <f t="shared" si="9"/>
        <v/>
      </c>
      <c r="V81" s="21" t="str">
        <f t="shared" si="10"/>
        <v/>
      </c>
      <c r="W81" s="20"/>
      <c r="X81" s="20"/>
      <c r="Y81" s="21">
        <f>IF(F2="HYDRAULIQUE","",6)</f>
        <v>6</v>
      </c>
      <c r="Z81" s="20"/>
      <c r="AA81" s="20"/>
      <c r="AB81" s="20"/>
      <c r="AC81" s="20"/>
    </row>
    <row r="82" spans="1:29" s="22" customFormat="1" ht="15" customHeight="1" x14ac:dyDescent="0.25">
      <c r="A82" s="16" t="s">
        <v>123</v>
      </c>
      <c r="B82" s="17" t="s">
        <v>124</v>
      </c>
      <c r="C82" s="17" t="s">
        <v>41</v>
      </c>
      <c r="D82" s="17" t="s">
        <v>61</v>
      </c>
      <c r="E82" s="17">
        <v>50</v>
      </c>
      <c r="F82" s="18">
        <v>213.6610132344</v>
      </c>
      <c r="G82" s="18">
        <v>216.5710132344</v>
      </c>
      <c r="H82" s="18">
        <v>227.41969646880003</v>
      </c>
      <c r="I82" s="20"/>
      <c r="J82" s="20"/>
      <c r="K82" s="20"/>
      <c r="L82" s="20"/>
      <c r="M82" s="20"/>
      <c r="N82" s="20"/>
      <c r="O82" s="20"/>
      <c r="P82" s="20"/>
      <c r="Q82" s="20"/>
      <c r="R82" s="26" t="str">
        <f t="shared" si="11"/>
        <v/>
      </c>
      <c r="S82" s="21" t="str">
        <f t="shared" si="7"/>
        <v/>
      </c>
      <c r="T82" s="21" t="str">
        <f t="shared" si="8"/>
        <v/>
      </c>
      <c r="U82" s="21" t="str">
        <f t="shared" si="9"/>
        <v/>
      </c>
      <c r="V82" s="21" t="str">
        <f t="shared" si="10"/>
        <v/>
      </c>
      <c r="W82" s="20"/>
      <c r="X82" s="20"/>
      <c r="Y82" s="20"/>
      <c r="Z82" s="20"/>
      <c r="AA82" s="20"/>
      <c r="AB82" s="20"/>
      <c r="AC82" s="20"/>
    </row>
    <row r="83" spans="1:29" s="22" customFormat="1" ht="15" customHeight="1" x14ac:dyDescent="0.25">
      <c r="A83" s="16" t="s">
        <v>125</v>
      </c>
      <c r="B83" s="17" t="s">
        <v>126</v>
      </c>
      <c r="C83" s="17" t="s">
        <v>42</v>
      </c>
      <c r="D83" s="17" t="s">
        <v>61</v>
      </c>
      <c r="E83" s="17">
        <v>7.0000000000000007E-2</v>
      </c>
      <c r="F83" s="18">
        <v>85.025659102837494</v>
      </c>
      <c r="G83" s="18">
        <v>85.146909102837498</v>
      </c>
      <c r="H83" s="18">
        <v>85.598929455675005</v>
      </c>
      <c r="I83" s="20">
        <v>4</v>
      </c>
      <c r="J83" s="20" t="s">
        <v>64</v>
      </c>
      <c r="K83" s="20"/>
      <c r="L83" s="20"/>
      <c r="M83" s="20"/>
      <c r="N83" s="20"/>
      <c r="O83" s="20"/>
      <c r="P83" s="20"/>
      <c r="Q83" s="20"/>
      <c r="R83" s="26">
        <f t="shared" si="11"/>
        <v>4</v>
      </c>
      <c r="S83" s="21" t="str">
        <f t="shared" si="7"/>
        <v/>
      </c>
      <c r="T83" s="21" t="str">
        <f t="shared" si="8"/>
        <v/>
      </c>
      <c r="U83" s="21" t="str">
        <f t="shared" si="9"/>
        <v/>
      </c>
      <c r="V83" s="21" t="str">
        <f t="shared" si="10"/>
        <v/>
      </c>
      <c r="W83" s="20"/>
      <c r="X83" s="20"/>
      <c r="Y83" s="20"/>
      <c r="Z83" s="20"/>
      <c r="AA83" s="20"/>
      <c r="AB83" s="20"/>
      <c r="AC83" s="21">
        <f>IF(F2="HYDRAULIQUE",2,4)</f>
        <v>4</v>
      </c>
    </row>
    <row r="84" spans="1:29" s="22" customFormat="1" ht="15" customHeight="1" x14ac:dyDescent="0.25">
      <c r="A84" s="16" t="s">
        <v>127</v>
      </c>
      <c r="B84" s="17" t="s">
        <v>128</v>
      </c>
      <c r="C84" s="17" t="s">
        <v>42</v>
      </c>
      <c r="D84" s="17" t="s">
        <v>61</v>
      </c>
      <c r="E84" s="17">
        <v>0.3</v>
      </c>
      <c r="F84" s="18">
        <v>130</v>
      </c>
      <c r="G84" s="18">
        <v>137</v>
      </c>
      <c r="H84" s="18">
        <v>155</v>
      </c>
      <c r="I84" s="20">
        <v>2</v>
      </c>
      <c r="J84" s="20"/>
      <c r="K84" s="20"/>
      <c r="L84" s="20"/>
      <c r="M84" s="20"/>
      <c r="N84" s="20"/>
      <c r="O84" s="20"/>
      <c r="P84" s="20"/>
      <c r="Q84" s="20"/>
      <c r="R84" s="26">
        <f t="shared" si="11"/>
        <v>2</v>
      </c>
      <c r="S84" s="21" t="str">
        <f t="shared" si="7"/>
        <v/>
      </c>
      <c r="T84" s="21" t="str">
        <f t="shared" si="8"/>
        <v/>
      </c>
      <c r="U84" s="21" t="str">
        <f t="shared" si="9"/>
        <v/>
      </c>
      <c r="V84" s="21" t="str">
        <f t="shared" si="10"/>
        <v/>
      </c>
      <c r="W84" s="20"/>
      <c r="X84" s="20"/>
      <c r="Y84" s="20"/>
      <c r="Z84" s="20"/>
      <c r="AA84" s="20"/>
      <c r="AB84" s="20"/>
      <c r="AC84" s="21">
        <v>2</v>
      </c>
    </row>
    <row r="85" spans="1:29" s="22" customFormat="1" ht="15" customHeight="1" x14ac:dyDescent="0.25">
      <c r="A85" s="16" t="s">
        <v>129</v>
      </c>
      <c r="B85" s="17" t="s">
        <v>130</v>
      </c>
      <c r="C85" s="17" t="s">
        <v>42</v>
      </c>
      <c r="D85" s="17" t="s">
        <v>61</v>
      </c>
      <c r="E85" s="17">
        <v>0</v>
      </c>
      <c r="F85" s="18">
        <v>150</v>
      </c>
      <c r="G85" s="18">
        <v>160</v>
      </c>
      <c r="H85" s="18">
        <v>190</v>
      </c>
      <c r="I85" s="20"/>
      <c r="J85" s="20"/>
      <c r="K85" s="20"/>
      <c r="L85" s="20"/>
      <c r="M85" s="20"/>
      <c r="N85" s="20"/>
      <c r="O85" s="20"/>
      <c r="P85" s="20"/>
      <c r="Q85" s="20"/>
      <c r="R85" s="26" t="str">
        <f t="shared" si="11"/>
        <v/>
      </c>
      <c r="S85" s="21" t="str">
        <f t="shared" ref="S85:S116" si="12">IF($C85=S$10,IF(AND(ISNUMBER(SEARCH($F$2,$B85)),ISNUMBER(SEARCH($N$2,$B85)),ISNUMBER(SEARCH($N$2,$B85))),1,""),"")</f>
        <v/>
      </c>
      <c r="T85" s="21" t="str">
        <f t="shared" ref="T85:T116" si="13">IF($C85=T$10,IF(AND(ISNUMBER(SEARCH($F$2,$B85)),ISNUMBER(SEARCH($N$2,$B85)),ISNUMBER(SEARCH($I$2,$B85))),1,""),"")</f>
        <v/>
      </c>
      <c r="U85" s="21" t="str">
        <f t="shared" ref="U85:U116" si="14">IF($C85=U$10,IF(AND(ISNUMBER(SEARCH($M$2,$B85)),ISNUMBER(SEARCH($L$2,$B85)),ISNUMBER(SEARCH($J$2,$B85)),ISNUMBER(SEARCH($K$2,$B85))),$H$2,""),"")</f>
        <v/>
      </c>
      <c r="V85" s="21" t="str">
        <f t="shared" ref="V85:V116" si="15">IF($C85=V$10,IF(AND(ISNUMBER(SEARCH($M$2,$B85)),ISNUMBER(SEARCH($J$2,$B85)),ISNUMBER(SEARCH($K$2,$B85)),$L$2="AUTOMATIQUE"),1,""),"")</f>
        <v/>
      </c>
      <c r="W85" s="20"/>
      <c r="X85" s="20"/>
      <c r="Y85" s="20"/>
      <c r="Z85" s="20"/>
      <c r="AA85" s="20"/>
      <c r="AB85" s="20"/>
      <c r="AC85" s="20"/>
    </row>
    <row r="86" spans="1:29" s="22" customFormat="1" ht="15" customHeight="1" x14ac:dyDescent="0.25">
      <c r="A86" s="16" t="s">
        <v>131</v>
      </c>
      <c r="B86" s="17" t="s">
        <v>132</v>
      </c>
      <c r="C86" s="17" t="s">
        <v>42</v>
      </c>
      <c r="D86" s="17" t="s">
        <v>61</v>
      </c>
      <c r="E86" s="17">
        <v>0.6</v>
      </c>
      <c r="F86" s="18">
        <v>110</v>
      </c>
      <c r="G86" s="18">
        <v>115</v>
      </c>
      <c r="H86" s="18">
        <v>150</v>
      </c>
      <c r="I86" s="20"/>
      <c r="J86" s="20"/>
      <c r="K86" s="20"/>
      <c r="L86" s="20"/>
      <c r="M86" s="20"/>
      <c r="N86" s="20"/>
      <c r="O86" s="20"/>
      <c r="P86" s="20"/>
      <c r="Q86" s="20"/>
      <c r="R86" s="26" t="str">
        <f t="shared" si="11"/>
        <v/>
      </c>
      <c r="S86" s="21" t="str">
        <f t="shared" si="12"/>
        <v/>
      </c>
      <c r="T86" s="21" t="str">
        <f t="shared" si="13"/>
        <v/>
      </c>
      <c r="U86" s="21" t="str">
        <f t="shared" si="14"/>
        <v/>
      </c>
      <c r="V86" s="21" t="str">
        <f t="shared" si="15"/>
        <v/>
      </c>
      <c r="W86" s="20"/>
      <c r="X86" s="20"/>
      <c r="Y86" s="20"/>
      <c r="Z86" s="20"/>
      <c r="AA86" s="20"/>
      <c r="AB86" s="20"/>
      <c r="AC86" s="20"/>
    </row>
    <row r="87" spans="1:29" s="22" customFormat="1" ht="15" customHeight="1" x14ac:dyDescent="0.25">
      <c r="A87" s="16" t="s">
        <v>133</v>
      </c>
      <c r="B87" s="17" t="s">
        <v>319</v>
      </c>
      <c r="C87" s="17" t="s">
        <v>42</v>
      </c>
      <c r="D87" s="17" t="s">
        <v>61</v>
      </c>
      <c r="E87" s="17">
        <v>0.14000000000000001</v>
      </c>
      <c r="F87" s="18">
        <v>9</v>
      </c>
      <c r="G87" s="18">
        <v>13</v>
      </c>
      <c r="H87" s="18">
        <v>20</v>
      </c>
      <c r="I87" s="20"/>
      <c r="J87" s="30" t="s">
        <v>64</v>
      </c>
      <c r="K87" s="20"/>
      <c r="L87" s="20"/>
      <c r="M87" s="20"/>
      <c r="N87" s="20"/>
      <c r="O87" s="20"/>
      <c r="P87" s="20"/>
      <c r="Q87" s="20"/>
      <c r="R87" s="26" t="str">
        <f t="shared" si="11"/>
        <v/>
      </c>
      <c r="S87" s="21" t="str">
        <f t="shared" si="12"/>
        <v/>
      </c>
      <c r="T87" s="21" t="str">
        <f t="shared" si="13"/>
        <v/>
      </c>
      <c r="U87" s="21" t="str">
        <f t="shared" si="14"/>
        <v/>
      </c>
      <c r="V87" s="21" t="str">
        <f t="shared" si="15"/>
        <v/>
      </c>
      <c r="W87" s="20"/>
      <c r="X87" s="20"/>
      <c r="Y87" s="20"/>
      <c r="Z87" s="20"/>
      <c r="AA87" s="20"/>
      <c r="AB87" s="20"/>
      <c r="AC87" s="20"/>
    </row>
    <row r="88" spans="1:29" s="22" customFormat="1" ht="15" customHeight="1" x14ac:dyDescent="0.25">
      <c r="A88" s="16" t="s">
        <v>134</v>
      </c>
      <c r="B88" s="17" t="s">
        <v>135</v>
      </c>
      <c r="C88" s="17" t="s">
        <v>42</v>
      </c>
      <c r="D88" s="17" t="s">
        <v>61</v>
      </c>
      <c r="E88" s="17">
        <v>2</v>
      </c>
      <c r="F88" s="18">
        <v>980</v>
      </c>
      <c r="G88" s="18">
        <v>1050</v>
      </c>
      <c r="H88" s="18">
        <v>1200</v>
      </c>
      <c r="I88" s="20"/>
      <c r="J88" s="30" t="s">
        <v>64</v>
      </c>
      <c r="K88" s="20"/>
      <c r="L88" s="20"/>
      <c r="M88" s="20"/>
      <c r="N88" s="20"/>
      <c r="O88" s="20"/>
      <c r="P88" s="20"/>
      <c r="Q88" s="20"/>
      <c r="R88" s="26" t="str">
        <f t="shared" si="11"/>
        <v/>
      </c>
      <c r="S88" s="21" t="str">
        <f t="shared" si="12"/>
        <v/>
      </c>
      <c r="T88" s="21" t="str">
        <f t="shared" si="13"/>
        <v/>
      </c>
      <c r="U88" s="21" t="str">
        <f t="shared" si="14"/>
        <v/>
      </c>
      <c r="V88" s="21" t="str">
        <f t="shared" si="15"/>
        <v/>
      </c>
      <c r="W88" s="20"/>
      <c r="X88" s="20"/>
      <c r="Y88" s="20"/>
      <c r="Z88" s="20"/>
      <c r="AA88" s="20"/>
      <c r="AB88" s="20"/>
      <c r="AC88" s="21" t="str">
        <f>+IF(AND(I2&lt;&gt;"AKİŞ",F2&lt;&gt;"GEARLESS",F2&lt;&gt;"HYDRAULIQUE"),1,"")</f>
        <v/>
      </c>
    </row>
    <row r="89" spans="1:29" x14ac:dyDescent="0.25">
      <c r="A89" s="16" t="s">
        <v>136</v>
      </c>
      <c r="B89" s="17" t="s">
        <v>379</v>
      </c>
      <c r="C89" s="17" t="s">
        <v>42</v>
      </c>
      <c r="D89" s="17" t="s">
        <v>45</v>
      </c>
      <c r="E89" s="17">
        <v>22</v>
      </c>
      <c r="F89" s="18">
        <v>516.02335284059996</v>
      </c>
      <c r="G89" s="18">
        <v>532.02835284059995</v>
      </c>
      <c r="H89" s="18">
        <v>591.70114068120006</v>
      </c>
      <c r="I89" s="30">
        <v>1</v>
      </c>
      <c r="J89" s="30" t="s">
        <v>64</v>
      </c>
      <c r="K89" s="30"/>
      <c r="L89" s="30"/>
      <c r="M89" s="30"/>
      <c r="N89" s="30"/>
      <c r="O89" s="20"/>
      <c r="P89" s="30"/>
      <c r="Q89" s="30"/>
      <c r="R89" s="26">
        <f t="shared" si="11"/>
        <v>1</v>
      </c>
      <c r="S89" s="21" t="str">
        <f t="shared" si="12"/>
        <v/>
      </c>
      <c r="T89" s="21" t="str">
        <f t="shared" si="13"/>
        <v/>
      </c>
      <c r="U89" s="21" t="str">
        <f t="shared" si="14"/>
        <v/>
      </c>
      <c r="V89" s="21" t="str">
        <f t="shared" si="15"/>
        <v/>
      </c>
      <c r="W89" s="20"/>
      <c r="X89" s="20"/>
      <c r="Y89" s="20"/>
      <c r="Z89" s="20"/>
      <c r="AA89" s="20"/>
      <c r="AB89" s="20"/>
      <c r="AC89" s="29">
        <f>IF(F2="HYDRAULIQUE","",1)</f>
        <v>1</v>
      </c>
    </row>
    <row r="90" spans="1:29" ht="15" customHeight="1" x14ac:dyDescent="0.25">
      <c r="A90" s="16" t="s">
        <v>137</v>
      </c>
      <c r="B90" s="17" t="s">
        <v>380</v>
      </c>
      <c r="C90" s="17" t="s">
        <v>39</v>
      </c>
      <c r="D90" s="17" t="s">
        <v>111</v>
      </c>
      <c r="E90" s="17">
        <v>0.02</v>
      </c>
      <c r="F90" s="18">
        <v>0.9</v>
      </c>
      <c r="G90" s="18">
        <v>0.95</v>
      </c>
      <c r="H90" s="18">
        <v>1.2</v>
      </c>
      <c r="I90" s="30">
        <v>700</v>
      </c>
      <c r="J90" s="30" t="s">
        <v>64</v>
      </c>
      <c r="K90" s="30"/>
      <c r="L90" s="30"/>
      <c r="M90" s="30"/>
      <c r="N90" s="30"/>
      <c r="O90" s="30"/>
      <c r="P90" s="30"/>
      <c r="Q90" s="30"/>
      <c r="R90" s="26">
        <f t="shared" si="11"/>
        <v>700</v>
      </c>
      <c r="S90" s="21" t="str">
        <f t="shared" si="12"/>
        <v/>
      </c>
      <c r="T90" s="21" t="str">
        <f t="shared" si="13"/>
        <v/>
      </c>
      <c r="U90" s="21" t="str">
        <f t="shared" si="14"/>
        <v/>
      </c>
      <c r="V90" s="21" t="str">
        <f t="shared" si="15"/>
        <v/>
      </c>
      <c r="W90" s="20"/>
      <c r="X90" s="20"/>
      <c r="Y90" s="20"/>
      <c r="Z90" s="21">
        <f>IF(F2="HYDRAULIQUE","",IF(H1&gt;7,700,400))</f>
        <v>700</v>
      </c>
      <c r="AA90" s="20"/>
      <c r="AB90" s="20"/>
      <c r="AC90" s="20"/>
    </row>
    <row r="91" spans="1:29" ht="15" customHeight="1" x14ac:dyDescent="0.25">
      <c r="A91" s="16" t="s">
        <v>138</v>
      </c>
      <c r="B91" s="17" t="s">
        <v>139</v>
      </c>
      <c r="C91" s="17" t="s">
        <v>39</v>
      </c>
      <c r="D91" s="17" t="s">
        <v>111</v>
      </c>
      <c r="E91" s="17">
        <v>0.03</v>
      </c>
      <c r="F91" s="18">
        <v>1.6731467596341845</v>
      </c>
      <c r="G91" s="18">
        <v>1.75</v>
      </c>
      <c r="H91" s="18">
        <v>1.9185063842683689</v>
      </c>
      <c r="I91" s="30">
        <v>300</v>
      </c>
      <c r="J91" s="30"/>
      <c r="K91" s="30"/>
      <c r="L91" s="30"/>
      <c r="M91" s="30"/>
      <c r="N91" s="30"/>
      <c r="O91" s="30"/>
      <c r="P91" s="30"/>
      <c r="Q91" s="30"/>
      <c r="R91" s="26">
        <f t="shared" si="11"/>
        <v>300</v>
      </c>
      <c r="S91" s="21" t="str">
        <f t="shared" si="12"/>
        <v/>
      </c>
      <c r="T91" s="21" t="str">
        <f t="shared" si="13"/>
        <v/>
      </c>
      <c r="U91" s="21" t="str">
        <f t="shared" si="14"/>
        <v/>
      </c>
      <c r="V91" s="21" t="str">
        <f t="shared" si="15"/>
        <v/>
      </c>
      <c r="W91" s="20"/>
      <c r="X91" s="20"/>
      <c r="Y91" s="20"/>
      <c r="Z91" s="21">
        <f>IF(F2="HYDRAULIQUE","",300)</f>
        <v>300</v>
      </c>
      <c r="AA91" s="20"/>
      <c r="AB91" s="20"/>
      <c r="AC91" s="20"/>
    </row>
    <row r="92" spans="1:29" ht="15" customHeight="1" x14ac:dyDescent="0.25">
      <c r="A92" s="16" t="s">
        <v>140</v>
      </c>
      <c r="B92" s="17" t="s">
        <v>141</v>
      </c>
      <c r="C92" s="17" t="s">
        <v>39</v>
      </c>
      <c r="D92" s="17" t="s">
        <v>111</v>
      </c>
      <c r="E92" s="17">
        <v>0.04</v>
      </c>
      <c r="F92" s="18">
        <v>1.9077000540261331</v>
      </c>
      <c r="G92" s="18">
        <v>2</v>
      </c>
      <c r="H92" s="18">
        <v>2.1874558980522667</v>
      </c>
      <c r="I92" s="30">
        <v>200</v>
      </c>
      <c r="J92" s="30"/>
      <c r="K92" s="30"/>
      <c r="L92" s="30"/>
      <c r="M92" s="30"/>
      <c r="N92" s="30"/>
      <c r="O92" s="30"/>
      <c r="P92" s="30"/>
      <c r="Q92" s="30"/>
      <c r="R92" s="26">
        <f t="shared" si="11"/>
        <v>200</v>
      </c>
      <c r="S92" s="21" t="str">
        <f t="shared" si="12"/>
        <v/>
      </c>
      <c r="T92" s="21" t="str">
        <f t="shared" si="13"/>
        <v/>
      </c>
      <c r="U92" s="21" t="str">
        <f t="shared" si="14"/>
        <v/>
      </c>
      <c r="V92" s="21" t="str">
        <f t="shared" si="15"/>
        <v/>
      </c>
      <c r="W92" s="20"/>
      <c r="X92" s="20"/>
      <c r="Y92" s="20"/>
      <c r="Z92" s="21">
        <f>IF(F2="HYDRAULIQUE","",200)</f>
        <v>200</v>
      </c>
      <c r="AA92" s="20"/>
      <c r="AB92" s="20"/>
      <c r="AC92" s="20"/>
    </row>
    <row r="93" spans="1:29" ht="15" customHeight="1" x14ac:dyDescent="0.25">
      <c r="A93" s="16" t="s">
        <v>142</v>
      </c>
      <c r="B93" s="17" t="s">
        <v>381</v>
      </c>
      <c r="C93" s="17" t="s">
        <v>39</v>
      </c>
      <c r="D93" s="17" t="s">
        <v>111</v>
      </c>
      <c r="E93" s="17">
        <v>0.05</v>
      </c>
      <c r="F93" s="18">
        <v>2.0758083509585123</v>
      </c>
      <c r="G93" s="18">
        <v>2.2999999999999998</v>
      </c>
      <c r="H93" s="18">
        <v>2.4564054169170251</v>
      </c>
      <c r="I93" s="30">
        <v>100</v>
      </c>
      <c r="J93" s="30" t="s">
        <v>64</v>
      </c>
      <c r="K93" s="30"/>
      <c r="L93" s="30"/>
      <c r="M93" s="30"/>
      <c r="N93" s="30"/>
      <c r="O93" s="30"/>
      <c r="P93" s="30"/>
      <c r="Q93" s="30"/>
      <c r="R93" s="26">
        <f t="shared" si="11"/>
        <v>100</v>
      </c>
      <c r="S93" s="21" t="str">
        <f t="shared" si="12"/>
        <v/>
      </c>
      <c r="T93" s="21" t="str">
        <f t="shared" si="13"/>
        <v/>
      </c>
      <c r="U93" s="21" t="str">
        <f t="shared" si="14"/>
        <v/>
      </c>
      <c r="V93" s="21" t="str">
        <f t="shared" si="15"/>
        <v/>
      </c>
      <c r="W93" s="20"/>
      <c r="X93" s="20"/>
      <c r="Y93" s="20"/>
      <c r="Z93" s="21">
        <f>IF(F2="HYDRAULIQUE","",100)</f>
        <v>100</v>
      </c>
      <c r="AA93" s="20"/>
      <c r="AB93" s="20"/>
      <c r="AC93" s="20"/>
    </row>
    <row r="94" spans="1:29" ht="15" customHeight="1" x14ac:dyDescent="0.25">
      <c r="A94" s="16" t="s">
        <v>143</v>
      </c>
      <c r="B94" s="17" t="s">
        <v>144</v>
      </c>
      <c r="C94" s="17" t="s">
        <v>39</v>
      </c>
      <c r="D94" s="17" t="s">
        <v>111</v>
      </c>
      <c r="E94" s="17">
        <v>1.2</v>
      </c>
      <c r="F94" s="18">
        <v>38</v>
      </c>
      <c r="G94" s="18">
        <v>40.5</v>
      </c>
      <c r="H94" s="18">
        <v>47</v>
      </c>
      <c r="I94" s="30">
        <v>27</v>
      </c>
      <c r="J94" s="30" t="s">
        <v>64</v>
      </c>
      <c r="K94" s="30"/>
      <c r="L94" s="30"/>
      <c r="M94" s="30"/>
      <c r="N94" s="30"/>
      <c r="O94" s="30"/>
      <c r="P94" s="30"/>
      <c r="Q94" s="30"/>
      <c r="R94" s="26">
        <f t="shared" si="11"/>
        <v>27</v>
      </c>
      <c r="S94" s="21" t="str">
        <f t="shared" si="12"/>
        <v/>
      </c>
      <c r="T94" s="21" t="str">
        <f t="shared" si="13"/>
        <v/>
      </c>
      <c r="U94" s="21" t="str">
        <f t="shared" si="14"/>
        <v/>
      </c>
      <c r="V94" s="21" t="str">
        <f t="shared" si="15"/>
        <v/>
      </c>
      <c r="W94" s="20"/>
      <c r="X94" s="20"/>
      <c r="Y94" s="20"/>
      <c r="Z94" s="21">
        <f>IF(F2="HYDRAULIQUE","",24+(H2-3)*3)</f>
        <v>27</v>
      </c>
      <c r="AA94" s="20"/>
      <c r="AB94" s="20"/>
      <c r="AC94" s="20"/>
    </row>
    <row r="95" spans="1:29" ht="15" customHeight="1" x14ac:dyDescent="0.25">
      <c r="A95" s="16" t="s">
        <v>145</v>
      </c>
      <c r="B95" s="17" t="s">
        <v>382</v>
      </c>
      <c r="C95" s="17" t="s">
        <v>39</v>
      </c>
      <c r="D95" s="17" t="s">
        <v>111</v>
      </c>
      <c r="E95" s="17">
        <v>0.3</v>
      </c>
      <c r="F95" s="18">
        <v>33</v>
      </c>
      <c r="G95" s="18">
        <v>37</v>
      </c>
      <c r="H95" s="18">
        <v>47</v>
      </c>
      <c r="I95" s="30">
        <v>3</v>
      </c>
      <c r="J95" s="30"/>
      <c r="K95" s="30"/>
      <c r="L95" s="30"/>
      <c r="M95" s="30"/>
      <c r="N95" s="30"/>
      <c r="O95" s="30"/>
      <c r="P95" s="30"/>
      <c r="Q95" s="30"/>
      <c r="R95" s="26">
        <f t="shared" si="11"/>
        <v>3</v>
      </c>
      <c r="S95" s="21" t="str">
        <f t="shared" si="12"/>
        <v/>
      </c>
      <c r="T95" s="21" t="str">
        <f t="shared" si="13"/>
        <v/>
      </c>
      <c r="U95" s="21" t="str">
        <f t="shared" si="14"/>
        <v/>
      </c>
      <c r="V95" s="21" t="str">
        <f t="shared" si="15"/>
        <v/>
      </c>
      <c r="W95" s="20"/>
      <c r="X95" s="20"/>
      <c r="Y95" s="20"/>
      <c r="Z95" s="21">
        <f>IF(F2="HYDRAULIQUE","",IF(H2&lt;8,3,4))</f>
        <v>3</v>
      </c>
      <c r="AA95" s="20"/>
      <c r="AB95" s="20"/>
      <c r="AC95" s="20"/>
    </row>
    <row r="96" spans="1:29" ht="15" customHeight="1" x14ac:dyDescent="0.25">
      <c r="A96" s="16" t="s">
        <v>146</v>
      </c>
      <c r="B96" s="17" t="s">
        <v>147</v>
      </c>
      <c r="C96" s="17" t="s">
        <v>39</v>
      </c>
      <c r="D96" s="17" t="s">
        <v>111</v>
      </c>
      <c r="E96" s="17">
        <v>0.5</v>
      </c>
      <c r="F96" s="18">
        <v>8</v>
      </c>
      <c r="G96" s="18">
        <v>9</v>
      </c>
      <c r="H96" s="18">
        <v>12</v>
      </c>
      <c r="I96" s="30">
        <v>27</v>
      </c>
      <c r="J96" s="30" t="s">
        <v>64</v>
      </c>
      <c r="K96" s="30"/>
      <c r="L96" s="30"/>
      <c r="M96" s="30"/>
      <c r="N96" s="30"/>
      <c r="O96" s="30"/>
      <c r="P96" s="30"/>
      <c r="Q96" s="30"/>
      <c r="R96" s="26">
        <f t="shared" si="11"/>
        <v>27</v>
      </c>
      <c r="S96" s="21" t="str">
        <f t="shared" si="12"/>
        <v/>
      </c>
      <c r="T96" s="21" t="str">
        <f t="shared" si="13"/>
        <v/>
      </c>
      <c r="U96" s="21" t="str">
        <f t="shared" si="14"/>
        <v/>
      </c>
      <c r="V96" s="21" t="str">
        <f t="shared" si="15"/>
        <v/>
      </c>
      <c r="W96" s="30"/>
      <c r="X96" s="30"/>
      <c r="Y96" s="30"/>
      <c r="Z96" s="21">
        <f>IF(F2="HYDRAULIQUE","",Z94)</f>
        <v>27</v>
      </c>
      <c r="AA96" s="30"/>
      <c r="AB96" s="30"/>
      <c r="AC96" s="30"/>
    </row>
    <row r="97" spans="1:29" ht="15" customHeight="1" x14ac:dyDescent="0.25">
      <c r="A97" s="16" t="s">
        <v>148</v>
      </c>
      <c r="B97" s="17" t="s">
        <v>149</v>
      </c>
      <c r="C97" s="17" t="s">
        <v>39</v>
      </c>
      <c r="D97" s="17" t="s">
        <v>111</v>
      </c>
      <c r="E97" s="17">
        <v>1</v>
      </c>
      <c r="F97" s="18">
        <v>1.7</v>
      </c>
      <c r="G97" s="18">
        <v>2</v>
      </c>
      <c r="H97" s="18">
        <v>2.7</v>
      </c>
      <c r="I97" s="30">
        <v>50</v>
      </c>
      <c r="J97" s="30" t="s">
        <v>64</v>
      </c>
      <c r="K97" s="30"/>
      <c r="L97" s="30"/>
      <c r="M97" s="30"/>
      <c r="N97" s="30"/>
      <c r="O97" s="30"/>
      <c r="P97" s="30"/>
      <c r="Q97" s="30"/>
      <c r="R97" s="26">
        <f t="shared" si="11"/>
        <v>50</v>
      </c>
      <c r="S97" s="21" t="str">
        <f t="shared" si="12"/>
        <v/>
      </c>
      <c r="T97" s="21" t="str">
        <f t="shared" si="13"/>
        <v/>
      </c>
      <c r="U97" s="21" t="str">
        <f t="shared" si="14"/>
        <v/>
      </c>
      <c r="V97" s="21" t="str">
        <f t="shared" si="15"/>
        <v/>
      </c>
      <c r="W97" s="30"/>
      <c r="X97" s="30"/>
      <c r="Y97" s="30"/>
      <c r="Z97" s="21">
        <f>IF(F2="HYDRAULIQUE","",50)</f>
        <v>50</v>
      </c>
      <c r="AA97" s="30"/>
      <c r="AB97" s="30"/>
      <c r="AC97" s="30"/>
    </row>
    <row r="98" spans="1:29" x14ac:dyDescent="0.25">
      <c r="A98" s="16" t="s">
        <v>150</v>
      </c>
      <c r="B98" s="17" t="s">
        <v>151</v>
      </c>
      <c r="C98" s="17" t="s">
        <v>40</v>
      </c>
      <c r="D98" s="17" t="s">
        <v>61</v>
      </c>
      <c r="E98" s="17">
        <v>1.8</v>
      </c>
      <c r="F98" s="18">
        <f>+G98</f>
        <v>1800</v>
      </c>
      <c r="G98" s="18">
        <v>1800</v>
      </c>
      <c r="H98" s="18">
        <v>2200</v>
      </c>
      <c r="I98" s="30">
        <v>1</v>
      </c>
      <c r="J98" s="30"/>
      <c r="K98" s="30"/>
      <c r="L98" s="30"/>
      <c r="M98" s="30"/>
      <c r="N98" s="30"/>
      <c r="O98" s="30"/>
      <c r="P98" s="30"/>
      <c r="Q98" s="30"/>
      <c r="R98" s="26">
        <f t="shared" ref="R98:R129" si="16">IF(SUM(S98:AC98)&lt;&gt;0,SUM(S98:AC98),"")</f>
        <v>1</v>
      </c>
      <c r="S98" s="21" t="str">
        <f t="shared" si="12"/>
        <v/>
      </c>
      <c r="T98" s="21" t="str">
        <f t="shared" si="13"/>
        <v/>
      </c>
      <c r="U98" s="21" t="str">
        <f t="shared" si="14"/>
        <v/>
      </c>
      <c r="V98" s="21" t="str">
        <f t="shared" si="15"/>
        <v/>
      </c>
      <c r="W98" s="30"/>
      <c r="X98" s="30"/>
      <c r="Y98" s="30"/>
      <c r="Z98" s="30"/>
      <c r="AA98" s="29">
        <f>IF(O2="OUI","",1)</f>
        <v>1</v>
      </c>
      <c r="AB98" s="30"/>
      <c r="AC98" s="30"/>
    </row>
    <row r="99" spans="1:29" x14ac:dyDescent="0.25">
      <c r="A99" s="16" t="s">
        <v>152</v>
      </c>
      <c r="B99" s="17" t="s">
        <v>153</v>
      </c>
      <c r="C99" s="17" t="s">
        <v>40</v>
      </c>
      <c r="D99" s="17" t="s">
        <v>61</v>
      </c>
      <c r="E99" s="17">
        <v>1.2</v>
      </c>
      <c r="F99" s="18">
        <f>+G99</f>
        <v>1350</v>
      </c>
      <c r="G99" s="18">
        <v>1350</v>
      </c>
      <c r="H99" s="18">
        <f>+G99+100</f>
        <v>1450</v>
      </c>
      <c r="I99" s="30"/>
      <c r="J99" s="30"/>
      <c r="K99" s="30"/>
      <c r="L99" s="30"/>
      <c r="M99" s="30"/>
      <c r="N99" s="30"/>
      <c r="O99" s="30"/>
      <c r="P99" s="30"/>
      <c r="Q99" s="30"/>
      <c r="R99" s="26" t="str">
        <f t="shared" si="16"/>
        <v/>
      </c>
      <c r="S99" s="21" t="str">
        <f t="shared" si="12"/>
        <v/>
      </c>
      <c r="T99" s="21" t="str">
        <f t="shared" si="13"/>
        <v/>
      </c>
      <c r="U99" s="21" t="str">
        <f t="shared" si="14"/>
        <v/>
      </c>
      <c r="V99" s="21" t="str">
        <f t="shared" si="15"/>
        <v/>
      </c>
      <c r="W99" s="30"/>
      <c r="X99" s="30"/>
      <c r="Y99" s="30"/>
      <c r="Z99" s="30"/>
      <c r="AA99" s="30"/>
      <c r="AB99" s="30"/>
      <c r="AC99" s="30"/>
    </row>
    <row r="100" spans="1:29" x14ac:dyDescent="0.25">
      <c r="A100" s="16" t="s">
        <v>154</v>
      </c>
      <c r="B100" s="17" t="s">
        <v>155</v>
      </c>
      <c r="C100" s="17" t="s">
        <v>40</v>
      </c>
      <c r="D100" s="17" t="s">
        <v>61</v>
      </c>
      <c r="E100" s="17">
        <v>1.5</v>
      </c>
      <c r="F100" s="18">
        <v>120</v>
      </c>
      <c r="G100" s="18">
        <v>127</v>
      </c>
      <c r="H100" s="18">
        <v>137</v>
      </c>
      <c r="I100" s="30">
        <v>4</v>
      </c>
      <c r="J100" s="30"/>
      <c r="K100" s="30"/>
      <c r="L100" s="30"/>
      <c r="M100" s="30"/>
      <c r="N100" s="30"/>
      <c r="O100" s="30"/>
      <c r="P100" s="30"/>
      <c r="Q100" s="30"/>
      <c r="R100" s="26">
        <f t="shared" si="16"/>
        <v>4</v>
      </c>
      <c r="S100" s="21" t="str">
        <f t="shared" si="12"/>
        <v/>
      </c>
      <c r="T100" s="21" t="str">
        <f t="shared" si="13"/>
        <v/>
      </c>
      <c r="U100" s="21" t="str">
        <f t="shared" si="14"/>
        <v/>
      </c>
      <c r="V100" s="21" t="str">
        <f t="shared" si="15"/>
        <v/>
      </c>
      <c r="W100" s="30"/>
      <c r="X100" s="30"/>
      <c r="Y100" s="30"/>
      <c r="Z100" s="30"/>
      <c r="AA100" s="29">
        <f>IF(O2="OUI","",H2)</f>
        <v>4</v>
      </c>
      <c r="AB100" s="30"/>
      <c r="AC100" s="30"/>
    </row>
    <row r="101" spans="1:29" x14ac:dyDescent="0.25">
      <c r="A101" s="16" t="s">
        <v>156</v>
      </c>
      <c r="B101" s="17" t="s">
        <v>157</v>
      </c>
      <c r="C101" s="17" t="s">
        <v>40</v>
      </c>
      <c r="D101" s="17" t="s">
        <v>61</v>
      </c>
      <c r="E101" s="17">
        <v>1</v>
      </c>
      <c r="F101" s="18">
        <v>68</v>
      </c>
      <c r="G101" s="18">
        <v>71</v>
      </c>
      <c r="H101" s="18">
        <v>78</v>
      </c>
      <c r="I101" s="30"/>
      <c r="J101" s="30"/>
      <c r="K101" s="30"/>
      <c r="L101" s="30"/>
      <c r="M101" s="30"/>
      <c r="N101" s="30"/>
      <c r="O101" s="30"/>
      <c r="P101" s="30"/>
      <c r="Q101" s="30"/>
      <c r="R101" s="26" t="str">
        <f t="shared" si="16"/>
        <v/>
      </c>
      <c r="S101" s="21" t="str">
        <f t="shared" si="12"/>
        <v/>
      </c>
      <c r="T101" s="21" t="str">
        <f t="shared" si="13"/>
        <v/>
      </c>
      <c r="U101" s="21" t="str">
        <f t="shared" si="14"/>
        <v/>
      </c>
      <c r="V101" s="21" t="str">
        <f t="shared" si="15"/>
        <v/>
      </c>
      <c r="W101" s="30"/>
      <c r="X101" s="30"/>
      <c r="Y101" s="30"/>
      <c r="Z101" s="30"/>
      <c r="AA101" s="30"/>
      <c r="AB101" s="30"/>
      <c r="AC101" s="30"/>
    </row>
    <row r="102" spans="1:29" x14ac:dyDescent="0.25">
      <c r="A102" s="16" t="s">
        <v>158</v>
      </c>
      <c r="B102" s="17" t="s">
        <v>159</v>
      </c>
      <c r="C102" s="17" t="s">
        <v>42</v>
      </c>
      <c r="D102" s="17" t="s">
        <v>61</v>
      </c>
      <c r="E102" s="17">
        <v>1.2</v>
      </c>
      <c r="F102" s="18">
        <v>121.96804646613599</v>
      </c>
      <c r="G102" s="18">
        <v>125.75104646613599</v>
      </c>
      <c r="H102" s="18">
        <v>139.854413932272</v>
      </c>
      <c r="I102" s="30"/>
      <c r="J102" s="30"/>
      <c r="K102" s="30"/>
      <c r="L102" s="30"/>
      <c r="M102" s="30"/>
      <c r="N102" s="30"/>
      <c r="O102" s="30"/>
      <c r="P102" s="30"/>
      <c r="Q102" s="30"/>
      <c r="R102" s="26" t="str">
        <f t="shared" si="16"/>
        <v/>
      </c>
      <c r="S102" s="21" t="str">
        <f t="shared" si="12"/>
        <v/>
      </c>
      <c r="T102" s="21" t="str">
        <f t="shared" si="13"/>
        <v/>
      </c>
      <c r="U102" s="21" t="str">
        <f t="shared" si="14"/>
        <v/>
      </c>
      <c r="V102" s="21" t="str">
        <f t="shared" si="15"/>
        <v/>
      </c>
      <c r="W102" s="30"/>
      <c r="X102" s="30"/>
      <c r="Y102" s="30"/>
      <c r="Z102" s="30"/>
      <c r="AA102" s="30"/>
      <c r="AB102" s="30"/>
      <c r="AC102" s="30"/>
    </row>
    <row r="103" spans="1:29" x14ac:dyDescent="0.25">
      <c r="A103" s="16" t="s">
        <v>160</v>
      </c>
      <c r="B103" s="17" t="s">
        <v>161</v>
      </c>
      <c r="C103" s="17" t="s">
        <v>42</v>
      </c>
      <c r="D103" s="17" t="s">
        <v>61</v>
      </c>
      <c r="E103" s="17">
        <v>1</v>
      </c>
      <c r="F103" s="18">
        <v>32</v>
      </c>
      <c r="G103" s="18">
        <v>34</v>
      </c>
      <c r="H103" s="18">
        <v>40</v>
      </c>
      <c r="I103" s="30">
        <v>3</v>
      </c>
      <c r="J103" s="30" t="s">
        <v>64</v>
      </c>
      <c r="K103" s="30"/>
      <c r="L103" s="30"/>
      <c r="M103" s="30"/>
      <c r="N103" s="30"/>
      <c r="O103" s="30"/>
      <c r="P103" s="30"/>
      <c r="Q103" s="30"/>
      <c r="R103" s="26">
        <f t="shared" si="16"/>
        <v>3</v>
      </c>
      <c r="S103" s="21" t="str">
        <f t="shared" si="12"/>
        <v/>
      </c>
      <c r="T103" s="21" t="str">
        <f t="shared" si="13"/>
        <v/>
      </c>
      <c r="U103" s="21" t="str">
        <f t="shared" si="14"/>
        <v/>
      </c>
      <c r="V103" s="21" t="str">
        <f t="shared" si="15"/>
        <v/>
      </c>
      <c r="W103" s="30"/>
      <c r="X103" s="30"/>
      <c r="Y103" s="30"/>
      <c r="Z103" s="30"/>
      <c r="AA103" s="30"/>
      <c r="AB103" s="30"/>
      <c r="AC103" s="29">
        <v>3</v>
      </c>
    </row>
    <row r="104" spans="1:29" x14ac:dyDescent="0.25">
      <c r="A104" s="16" t="s">
        <v>162</v>
      </c>
      <c r="B104" s="17" t="s">
        <v>163</v>
      </c>
      <c r="C104" s="17" t="s">
        <v>42</v>
      </c>
      <c r="D104" s="17" t="s">
        <v>61</v>
      </c>
      <c r="E104" s="17">
        <v>0.4</v>
      </c>
      <c r="F104" s="18">
        <v>39</v>
      </c>
      <c r="G104" s="18">
        <v>44</v>
      </c>
      <c r="H104" s="18">
        <v>51</v>
      </c>
      <c r="I104" s="30"/>
      <c r="J104" s="30" t="s">
        <v>64</v>
      </c>
      <c r="K104" s="30"/>
      <c r="L104" s="30"/>
      <c r="M104" s="30"/>
      <c r="N104" s="30"/>
      <c r="O104" s="30"/>
      <c r="P104" s="30"/>
      <c r="Q104" s="30"/>
      <c r="R104" s="26" t="str">
        <f t="shared" si="16"/>
        <v/>
      </c>
      <c r="S104" s="21" t="str">
        <f t="shared" si="12"/>
        <v/>
      </c>
      <c r="T104" s="21" t="str">
        <f t="shared" si="13"/>
        <v/>
      </c>
      <c r="U104" s="21" t="str">
        <f t="shared" si="14"/>
        <v/>
      </c>
      <c r="V104" s="21" t="str">
        <f t="shared" si="15"/>
        <v/>
      </c>
      <c r="W104" s="30"/>
      <c r="X104" s="30"/>
      <c r="Y104" s="30"/>
      <c r="Z104" s="30"/>
      <c r="AA104" s="30"/>
      <c r="AB104" s="30"/>
      <c r="AC104" s="30"/>
    </row>
    <row r="105" spans="1:29" x14ac:dyDescent="0.25">
      <c r="A105" s="16" t="s">
        <v>164</v>
      </c>
      <c r="B105" s="17" t="s">
        <v>165</v>
      </c>
      <c r="C105" s="17" t="s">
        <v>42</v>
      </c>
      <c r="D105" s="17" t="s">
        <v>61</v>
      </c>
      <c r="E105" s="17">
        <v>0.6</v>
      </c>
      <c r="F105" s="18">
        <v>59.092247783749997</v>
      </c>
      <c r="G105" s="18">
        <v>65.304747783750003</v>
      </c>
      <c r="H105" s="18">
        <v>84.8249830675</v>
      </c>
      <c r="I105" s="30">
        <v>1</v>
      </c>
      <c r="J105" s="30"/>
      <c r="K105" s="30"/>
      <c r="L105" s="30"/>
      <c r="M105" s="30"/>
      <c r="N105" s="30"/>
      <c r="O105" s="30"/>
      <c r="P105" s="30"/>
      <c r="Q105" s="30"/>
      <c r="R105" s="26">
        <f t="shared" si="16"/>
        <v>1</v>
      </c>
      <c r="S105" s="21" t="str">
        <f t="shared" si="12"/>
        <v/>
      </c>
      <c r="T105" s="21" t="str">
        <f t="shared" si="13"/>
        <v/>
      </c>
      <c r="U105" s="21" t="str">
        <f t="shared" si="14"/>
        <v/>
      </c>
      <c r="V105" s="21" t="str">
        <f t="shared" si="15"/>
        <v/>
      </c>
      <c r="W105" s="30"/>
      <c r="X105" s="30"/>
      <c r="Y105" s="30"/>
      <c r="Z105" s="30"/>
      <c r="AA105" s="30"/>
      <c r="AB105" s="30"/>
      <c r="AC105" s="29">
        <f>IF(F2="HYDRAULIQUE","",1)</f>
        <v>1</v>
      </c>
    </row>
    <row r="106" spans="1:29" x14ac:dyDescent="0.25">
      <c r="A106" s="16" t="s">
        <v>166</v>
      </c>
      <c r="B106" s="17" t="s">
        <v>167</v>
      </c>
      <c r="C106" s="17" t="s">
        <v>42</v>
      </c>
      <c r="D106" s="17" t="s">
        <v>61</v>
      </c>
      <c r="E106" s="17">
        <v>0.5</v>
      </c>
      <c r="F106" s="18">
        <v>0</v>
      </c>
      <c r="G106" s="18">
        <v>0</v>
      </c>
      <c r="H106" s="18">
        <v>0</v>
      </c>
      <c r="I106" s="30"/>
      <c r="J106" s="30"/>
      <c r="K106" s="30"/>
      <c r="L106" s="30"/>
      <c r="M106" s="30"/>
      <c r="N106" s="30"/>
      <c r="O106" s="30"/>
      <c r="P106" s="30"/>
      <c r="Q106" s="30"/>
      <c r="R106" s="26" t="str">
        <f t="shared" si="16"/>
        <v/>
      </c>
      <c r="S106" s="21" t="str">
        <f t="shared" si="12"/>
        <v/>
      </c>
      <c r="T106" s="21" t="str">
        <f t="shared" si="13"/>
        <v/>
      </c>
      <c r="U106" s="21" t="str">
        <f t="shared" si="14"/>
        <v/>
      </c>
      <c r="V106" s="21" t="str">
        <f t="shared" si="15"/>
        <v/>
      </c>
      <c r="W106" s="30"/>
      <c r="X106" s="30"/>
      <c r="Y106" s="30"/>
      <c r="Z106" s="30"/>
      <c r="AA106" s="30"/>
      <c r="AB106" s="30"/>
      <c r="AC106" s="30"/>
    </row>
    <row r="107" spans="1:29" x14ac:dyDescent="0.25">
      <c r="A107" s="16" t="s">
        <v>168</v>
      </c>
      <c r="B107" s="17" t="s">
        <v>169</v>
      </c>
      <c r="C107" s="17" t="s">
        <v>42</v>
      </c>
      <c r="D107" s="17" t="s">
        <v>61</v>
      </c>
      <c r="E107" s="17">
        <v>0.8</v>
      </c>
      <c r="F107" s="18">
        <v>828.77076292859988</v>
      </c>
      <c r="G107" s="18">
        <v>854.47576292859981</v>
      </c>
      <c r="H107" s="18">
        <v>950.31986085719984</v>
      </c>
      <c r="I107" s="30">
        <v>1</v>
      </c>
      <c r="J107" s="30"/>
      <c r="K107" s="30"/>
      <c r="L107" s="30"/>
      <c r="M107" s="30"/>
      <c r="N107" s="30"/>
      <c r="O107" s="30"/>
      <c r="P107" s="30"/>
      <c r="Q107" s="30"/>
      <c r="R107" s="26">
        <f t="shared" si="16"/>
        <v>1</v>
      </c>
      <c r="S107" s="21" t="str">
        <f t="shared" si="12"/>
        <v/>
      </c>
      <c r="T107" s="21" t="str">
        <f t="shared" si="13"/>
        <v/>
      </c>
      <c r="U107" s="21" t="str">
        <f t="shared" si="14"/>
        <v/>
      </c>
      <c r="V107" s="21" t="str">
        <f t="shared" si="15"/>
        <v/>
      </c>
      <c r="W107" s="30"/>
      <c r="X107" s="30"/>
      <c r="Y107" s="30"/>
      <c r="Z107" s="30"/>
      <c r="AA107" s="30"/>
      <c r="AB107" s="30"/>
      <c r="AC107" s="29">
        <v>1</v>
      </c>
    </row>
    <row r="108" spans="1:29" x14ac:dyDescent="0.25">
      <c r="A108" s="16" t="s">
        <v>170</v>
      </c>
      <c r="B108" s="17" t="s">
        <v>171</v>
      </c>
      <c r="C108" s="17" t="s">
        <v>42</v>
      </c>
      <c r="D108" s="17" t="s">
        <v>61</v>
      </c>
      <c r="E108" s="17">
        <v>3</v>
      </c>
      <c r="F108" s="18">
        <v>938.23342344000002</v>
      </c>
      <c r="G108" s="18">
        <v>967.33342344000005</v>
      </c>
      <c r="H108" s="18">
        <v>1075.83854688</v>
      </c>
      <c r="I108" s="30"/>
      <c r="J108" s="30"/>
      <c r="K108" s="30"/>
      <c r="L108" s="30"/>
      <c r="M108" s="30"/>
      <c r="N108" s="30"/>
      <c r="O108" s="30"/>
      <c r="P108" s="30"/>
      <c r="Q108" s="30"/>
      <c r="R108" s="26" t="str">
        <f t="shared" si="16"/>
        <v/>
      </c>
      <c r="S108" s="21" t="str">
        <f t="shared" si="12"/>
        <v/>
      </c>
      <c r="T108" s="21" t="str">
        <f t="shared" si="13"/>
        <v/>
      </c>
      <c r="U108" s="21" t="str">
        <f t="shared" si="14"/>
        <v/>
      </c>
      <c r="V108" s="21" t="str">
        <f t="shared" si="15"/>
        <v/>
      </c>
      <c r="W108" s="30"/>
      <c r="X108" s="30"/>
      <c r="Y108" s="30"/>
      <c r="Z108" s="30"/>
      <c r="AA108" s="30"/>
      <c r="AB108" s="30"/>
      <c r="AC108" s="30"/>
    </row>
    <row r="109" spans="1:29" x14ac:dyDescent="0.25">
      <c r="A109" s="16" t="s">
        <v>172</v>
      </c>
      <c r="B109" s="17" t="s">
        <v>173</v>
      </c>
      <c r="C109" s="17" t="s">
        <v>42</v>
      </c>
      <c r="D109" s="17" t="s">
        <v>61</v>
      </c>
      <c r="E109" s="17">
        <v>2.5</v>
      </c>
      <c r="F109" s="18">
        <v>562.93517643840005</v>
      </c>
      <c r="G109" s="18">
        <v>580.39517643840009</v>
      </c>
      <c r="H109" s="18">
        <v>645.49337287680009</v>
      </c>
      <c r="I109" s="30"/>
      <c r="J109" s="30" t="s">
        <v>64</v>
      </c>
      <c r="K109" s="30"/>
      <c r="L109" s="30"/>
      <c r="M109" s="30"/>
      <c r="N109" s="30"/>
      <c r="O109" s="30"/>
      <c r="P109" s="30"/>
      <c r="Q109" s="30"/>
      <c r="R109" s="26" t="str">
        <f t="shared" si="16"/>
        <v/>
      </c>
      <c r="S109" s="21" t="str">
        <f t="shared" si="12"/>
        <v/>
      </c>
      <c r="T109" s="21" t="str">
        <f t="shared" si="13"/>
        <v/>
      </c>
      <c r="U109" s="21" t="str">
        <f t="shared" si="14"/>
        <v/>
      </c>
      <c r="V109" s="21" t="str">
        <f t="shared" si="15"/>
        <v/>
      </c>
      <c r="W109" s="30"/>
      <c r="X109" s="30"/>
      <c r="Y109" s="30"/>
      <c r="Z109" s="30"/>
      <c r="AA109" s="30"/>
      <c r="AB109" s="30"/>
      <c r="AC109" s="30"/>
    </row>
    <row r="110" spans="1:29" s="33" customFormat="1" x14ac:dyDescent="0.25">
      <c r="A110" s="23" t="s">
        <v>174</v>
      </c>
      <c r="B110" s="31" t="s">
        <v>383</v>
      </c>
      <c r="C110" s="31" t="s">
        <v>42</v>
      </c>
      <c r="D110" s="31" t="s">
        <v>61</v>
      </c>
      <c r="E110" s="31">
        <v>38</v>
      </c>
      <c r="F110" s="19">
        <v>995</v>
      </c>
      <c r="G110" s="19">
        <v>1030</v>
      </c>
      <c r="H110" s="19">
        <v>1150</v>
      </c>
      <c r="I110" s="29">
        <v>1</v>
      </c>
      <c r="J110" s="30" t="s">
        <v>64</v>
      </c>
      <c r="K110" s="20" t="s">
        <v>64</v>
      </c>
      <c r="L110" s="29"/>
      <c r="M110" s="29"/>
      <c r="N110" s="29"/>
      <c r="O110" s="29"/>
      <c r="P110" s="29"/>
      <c r="Q110" s="29"/>
      <c r="R110" s="32">
        <f t="shared" si="16"/>
        <v>1</v>
      </c>
      <c r="S110" s="21" t="str">
        <f t="shared" si="12"/>
        <v/>
      </c>
      <c r="T110" s="21" t="str">
        <f t="shared" si="13"/>
        <v/>
      </c>
      <c r="U110" s="21" t="str">
        <f t="shared" si="14"/>
        <v/>
      </c>
      <c r="V110" s="21" t="str">
        <f t="shared" si="15"/>
        <v/>
      </c>
      <c r="W110" s="30"/>
      <c r="X110" s="30"/>
      <c r="Y110" s="30"/>
      <c r="Z110" s="30"/>
      <c r="AA110" s="30"/>
      <c r="AB110" s="30"/>
      <c r="AC110" s="29">
        <f>IF(F2="HYDRAULIQUE","",IF(F2="2V","",1))</f>
        <v>1</v>
      </c>
    </row>
    <row r="111" spans="1:29" x14ac:dyDescent="0.25">
      <c r="A111" s="16" t="s">
        <v>175</v>
      </c>
      <c r="B111" s="90" t="s">
        <v>384</v>
      </c>
      <c r="C111" s="17" t="s">
        <v>42</v>
      </c>
      <c r="D111" s="17" t="s">
        <v>61</v>
      </c>
      <c r="E111" s="17">
        <v>42</v>
      </c>
      <c r="F111" s="18">
        <v>945</v>
      </c>
      <c r="G111" s="18">
        <v>970</v>
      </c>
      <c r="H111" s="18">
        <v>1070</v>
      </c>
      <c r="I111" s="30"/>
      <c r="J111" s="30"/>
      <c r="K111" s="30"/>
      <c r="L111" s="30"/>
      <c r="M111" s="30"/>
      <c r="N111" s="30"/>
      <c r="O111" s="30"/>
      <c r="P111" s="30"/>
      <c r="Q111" s="30"/>
      <c r="R111" s="26" t="str">
        <f t="shared" si="16"/>
        <v/>
      </c>
      <c r="S111" s="21" t="str">
        <f t="shared" si="12"/>
        <v/>
      </c>
      <c r="T111" s="21" t="str">
        <f t="shared" si="13"/>
        <v/>
      </c>
      <c r="U111" s="21" t="str">
        <f t="shared" si="14"/>
        <v/>
      </c>
      <c r="V111" s="21" t="str">
        <f t="shared" si="15"/>
        <v/>
      </c>
      <c r="W111" s="30"/>
      <c r="X111" s="30"/>
      <c r="Y111" s="30"/>
      <c r="Z111" s="30"/>
      <c r="AA111" s="30"/>
      <c r="AB111" s="30"/>
      <c r="AC111" s="29" t="str">
        <f>IF(F2="HYDRAULIQUE","",IF(F2="2V",1,""))</f>
        <v/>
      </c>
    </row>
    <row r="112" spans="1:29" x14ac:dyDescent="0.25">
      <c r="A112" s="16" t="s">
        <v>176</v>
      </c>
      <c r="B112" s="17" t="s">
        <v>177</v>
      </c>
      <c r="C112" s="17" t="s">
        <v>32</v>
      </c>
      <c r="D112" s="17" t="s">
        <v>45</v>
      </c>
      <c r="E112" s="17">
        <v>95</v>
      </c>
      <c r="F112" s="18">
        <v>9775.2583593750005</v>
      </c>
      <c r="G112" s="18">
        <v>10078.383359375001</v>
      </c>
      <c r="H112" s="18">
        <v>11210.63859375</v>
      </c>
      <c r="I112" s="30">
        <v>1</v>
      </c>
      <c r="J112" s="30"/>
      <c r="K112" s="30"/>
      <c r="L112" s="30"/>
      <c r="M112" s="30"/>
      <c r="N112" s="30"/>
      <c r="O112" s="30"/>
      <c r="P112" s="30"/>
      <c r="Q112" s="30"/>
      <c r="R112" s="26">
        <f t="shared" si="16"/>
        <v>1</v>
      </c>
      <c r="S112" s="21">
        <f t="shared" si="12"/>
        <v>1</v>
      </c>
      <c r="T112" s="21" t="str">
        <f t="shared" si="13"/>
        <v/>
      </c>
      <c r="U112" s="21" t="str">
        <f t="shared" si="14"/>
        <v/>
      </c>
      <c r="V112" s="21" t="str">
        <f t="shared" si="15"/>
        <v/>
      </c>
      <c r="W112" s="30"/>
      <c r="X112" s="30"/>
      <c r="Y112" s="30"/>
      <c r="Z112" s="30"/>
      <c r="AA112" s="30"/>
      <c r="AB112" s="30"/>
      <c r="AC112" s="30"/>
    </row>
    <row r="113" spans="1:29" x14ac:dyDescent="0.25">
      <c r="A113" s="16" t="s">
        <v>178</v>
      </c>
      <c r="B113" s="17" t="s">
        <v>179</v>
      </c>
      <c r="C113" s="17" t="s">
        <v>32</v>
      </c>
      <c r="D113" s="17" t="s">
        <v>45</v>
      </c>
      <c r="E113" s="17">
        <v>120</v>
      </c>
      <c r="F113" s="18">
        <v>9775.2583593750005</v>
      </c>
      <c r="G113" s="18">
        <v>10078.383359375001</v>
      </c>
      <c r="H113" s="18">
        <v>11210.63859375</v>
      </c>
      <c r="I113" s="30"/>
      <c r="J113" s="30"/>
      <c r="K113" s="30"/>
      <c r="L113" s="30"/>
      <c r="M113" s="30"/>
      <c r="N113" s="30"/>
      <c r="O113" s="30"/>
      <c r="P113" s="30"/>
      <c r="Q113" s="30"/>
      <c r="R113" s="26" t="str">
        <f t="shared" si="16"/>
        <v/>
      </c>
      <c r="S113" s="21" t="str">
        <f t="shared" si="12"/>
        <v/>
      </c>
      <c r="T113" s="21" t="str">
        <f t="shared" si="13"/>
        <v/>
      </c>
      <c r="U113" s="21" t="str">
        <f t="shared" si="14"/>
        <v/>
      </c>
      <c r="V113" s="21" t="str">
        <f t="shared" si="15"/>
        <v/>
      </c>
      <c r="W113" s="30"/>
      <c r="X113" s="30"/>
      <c r="Y113" s="30"/>
      <c r="Z113" s="30"/>
      <c r="AA113" s="30"/>
      <c r="AB113" s="30"/>
      <c r="AC113" s="30"/>
    </row>
    <row r="114" spans="1:29" x14ac:dyDescent="0.25">
      <c r="A114" s="16" t="s">
        <v>180</v>
      </c>
      <c r="B114" s="17" t="s">
        <v>181</v>
      </c>
      <c r="C114" s="17" t="s">
        <v>32</v>
      </c>
      <c r="D114" s="17" t="s">
        <v>45</v>
      </c>
      <c r="E114" s="17">
        <v>110</v>
      </c>
      <c r="F114" s="18">
        <v>5942.8314957599996</v>
      </c>
      <c r="G114" s="18">
        <v>6127.1314957599998</v>
      </c>
      <c r="H114" s="18">
        <v>6815.0170915199997</v>
      </c>
      <c r="I114" s="30"/>
      <c r="J114" s="30"/>
      <c r="K114" s="30"/>
      <c r="L114" s="30"/>
      <c r="M114" s="30"/>
      <c r="N114" s="30"/>
      <c r="O114" s="30"/>
      <c r="P114" s="30"/>
      <c r="Q114" s="30"/>
      <c r="R114" s="26" t="str">
        <f t="shared" si="16"/>
        <v/>
      </c>
      <c r="S114" s="21" t="str">
        <f t="shared" si="12"/>
        <v/>
      </c>
      <c r="T114" s="21" t="str">
        <f t="shared" si="13"/>
        <v/>
      </c>
      <c r="U114" s="21" t="str">
        <f t="shared" si="14"/>
        <v/>
      </c>
      <c r="V114" s="21" t="str">
        <f t="shared" si="15"/>
        <v/>
      </c>
      <c r="W114" s="30"/>
      <c r="X114" s="30"/>
      <c r="Y114" s="30"/>
      <c r="Z114" s="30"/>
      <c r="AA114" s="30"/>
      <c r="AB114" s="30"/>
      <c r="AC114" s="30"/>
    </row>
    <row r="115" spans="1:29" x14ac:dyDescent="0.25">
      <c r="A115" s="16" t="s">
        <v>182</v>
      </c>
      <c r="B115" s="17" t="s">
        <v>183</v>
      </c>
      <c r="C115" s="17" t="s">
        <v>32</v>
      </c>
      <c r="D115" s="17" t="s">
        <v>45</v>
      </c>
      <c r="E115" s="17">
        <v>135</v>
      </c>
      <c r="F115" s="18">
        <v>5942.8314957599996</v>
      </c>
      <c r="G115" s="18">
        <v>6127.1314957599998</v>
      </c>
      <c r="H115" s="18">
        <v>6815.0170915199997</v>
      </c>
      <c r="I115" s="30"/>
      <c r="J115" s="30"/>
      <c r="K115" s="30"/>
      <c r="L115" s="30"/>
      <c r="M115" s="30"/>
      <c r="N115" s="30"/>
      <c r="O115" s="30"/>
      <c r="P115" s="30"/>
      <c r="Q115" s="30"/>
      <c r="R115" s="26" t="str">
        <f t="shared" si="16"/>
        <v/>
      </c>
      <c r="S115" s="21" t="str">
        <f t="shared" si="12"/>
        <v/>
      </c>
      <c r="T115" s="21" t="str">
        <f t="shared" si="13"/>
        <v/>
      </c>
      <c r="U115" s="21" t="str">
        <f t="shared" si="14"/>
        <v/>
      </c>
      <c r="V115" s="21" t="str">
        <f t="shared" si="15"/>
        <v/>
      </c>
      <c r="W115" s="30"/>
      <c r="X115" s="30"/>
      <c r="Y115" s="30"/>
      <c r="Z115" s="30"/>
      <c r="AA115" s="30"/>
      <c r="AB115" s="30"/>
      <c r="AC115" s="30"/>
    </row>
    <row r="116" spans="1:29" x14ac:dyDescent="0.25">
      <c r="A116" s="16" t="s">
        <v>184</v>
      </c>
      <c r="B116" s="17" t="s">
        <v>185</v>
      </c>
      <c r="C116" s="17" t="s">
        <v>42</v>
      </c>
      <c r="D116" s="17" t="s">
        <v>61</v>
      </c>
      <c r="E116" s="17">
        <v>25</v>
      </c>
      <c r="F116" s="18">
        <v>1230</v>
      </c>
      <c r="G116" s="18">
        <v>1300</v>
      </c>
      <c r="H116" s="18">
        <v>1450</v>
      </c>
      <c r="I116" s="30">
        <v>1</v>
      </c>
      <c r="J116" s="30"/>
      <c r="K116" s="30"/>
      <c r="L116" s="30"/>
      <c r="M116" s="30"/>
      <c r="N116" s="30"/>
      <c r="O116" s="30"/>
      <c r="P116" s="30"/>
      <c r="Q116" s="30"/>
      <c r="R116" s="26">
        <f t="shared" si="16"/>
        <v>1</v>
      </c>
      <c r="S116" s="21" t="str">
        <f t="shared" si="12"/>
        <v/>
      </c>
      <c r="T116" s="21" t="str">
        <f t="shared" si="13"/>
        <v/>
      </c>
      <c r="U116" s="21" t="str">
        <f t="shared" si="14"/>
        <v/>
      </c>
      <c r="V116" s="21" t="str">
        <f t="shared" si="15"/>
        <v/>
      </c>
      <c r="W116" s="30"/>
      <c r="X116" s="30"/>
      <c r="Y116" s="30"/>
      <c r="Z116" s="30"/>
      <c r="AA116" s="30"/>
      <c r="AB116" s="30"/>
      <c r="AC116" s="29">
        <v>1</v>
      </c>
    </row>
    <row r="117" spans="1:29" x14ac:dyDescent="0.25">
      <c r="A117" s="16" t="s">
        <v>186</v>
      </c>
      <c r="B117" s="17" t="s">
        <v>187</v>
      </c>
      <c r="C117" s="17" t="s">
        <v>33</v>
      </c>
      <c r="D117" s="17" t="s">
        <v>45</v>
      </c>
      <c r="E117" s="17">
        <v>75</v>
      </c>
      <c r="F117" s="18">
        <v>2700</v>
      </c>
      <c r="G117" s="18">
        <v>2700</v>
      </c>
      <c r="H117" s="18">
        <v>2750</v>
      </c>
      <c r="I117" s="30">
        <v>1</v>
      </c>
      <c r="J117" s="30" t="s">
        <v>64</v>
      </c>
      <c r="K117" s="30"/>
      <c r="L117" s="30"/>
      <c r="M117" s="30"/>
      <c r="N117" s="30"/>
      <c r="O117" s="30"/>
      <c r="P117" s="30"/>
      <c r="Q117" s="30"/>
      <c r="R117" s="26">
        <f t="shared" si="16"/>
        <v>1</v>
      </c>
      <c r="S117" s="21" t="str">
        <f t="shared" ref="S117:S148" si="17">IF($C117=S$10,IF(AND(ISNUMBER(SEARCH($F$2,$B117)),ISNUMBER(SEARCH($N$2,$B117)),ISNUMBER(SEARCH($N$2,$B117))),1,""),"")</f>
        <v/>
      </c>
      <c r="T117" s="21" t="str">
        <f t="shared" ref="T117:T148" si="18">IF($C117=T$10,IF(AND(ISNUMBER(SEARCH($F$2,$B117)),ISNUMBER(SEARCH($N$2,$B117)),ISNUMBER(SEARCH($I$2,$B117))),1,""),"")</f>
        <v/>
      </c>
      <c r="U117" s="21" t="str">
        <f t="shared" ref="U117:U148" si="19">IF($C117=U$10,IF(AND(ISNUMBER(SEARCH($M$2,$B117)),ISNUMBER(SEARCH($L$2,$B117)),ISNUMBER(SEARCH($J$2,$B117)),ISNUMBER(SEARCH($K$2,$B117))),$H$2,""),"")</f>
        <v/>
      </c>
      <c r="V117" s="21" t="str">
        <f t="shared" ref="V117:V148" si="20">IF($C117=V$10,IF(AND(ISNUMBER(SEARCH($M$2,$B117)),ISNUMBER(SEARCH($J$2,$B117)),ISNUMBER(SEARCH($K$2,$B117)),$L$2="AUTOMATIQUE"),1,""),"")</f>
        <v/>
      </c>
      <c r="W117" s="29"/>
      <c r="X117" s="29"/>
      <c r="Y117" s="29"/>
      <c r="Z117" s="29"/>
      <c r="AA117" s="29"/>
      <c r="AB117" s="29"/>
      <c r="AC117" s="29">
        <f>IF(AND(I2&lt;&gt;"PRIMO",OR(F2="VVVF",F2="2V")),1,"")</f>
        <v>1</v>
      </c>
    </row>
    <row r="118" spans="1:29" x14ac:dyDescent="0.25">
      <c r="A118" s="16" t="s">
        <v>188</v>
      </c>
      <c r="B118" s="17" t="s">
        <v>305</v>
      </c>
      <c r="C118" s="17" t="s">
        <v>33</v>
      </c>
      <c r="D118" s="17" t="s">
        <v>45</v>
      </c>
      <c r="E118" s="17">
        <v>260</v>
      </c>
      <c r="F118" s="18">
        <v>3909.5740875000001</v>
      </c>
      <c r="G118" s="18">
        <v>4030.8240875000001</v>
      </c>
      <c r="H118" s="18">
        <v>4483.1969250000002</v>
      </c>
      <c r="I118" s="30"/>
      <c r="J118" s="30" t="s">
        <v>64</v>
      </c>
      <c r="K118" s="20" t="s">
        <v>64</v>
      </c>
      <c r="L118" s="30"/>
      <c r="M118" s="30"/>
      <c r="N118" s="30"/>
      <c r="O118" s="30"/>
      <c r="P118" s="30"/>
      <c r="Q118" s="30"/>
      <c r="R118" s="26" t="str">
        <f t="shared" si="16"/>
        <v/>
      </c>
      <c r="S118" s="21" t="str">
        <f t="shared" si="17"/>
        <v/>
      </c>
      <c r="T118" s="21" t="str">
        <f t="shared" si="18"/>
        <v/>
      </c>
      <c r="U118" s="21" t="str">
        <f t="shared" si="19"/>
        <v/>
      </c>
      <c r="V118" s="21" t="str">
        <f t="shared" si="20"/>
        <v/>
      </c>
      <c r="W118" s="30"/>
      <c r="X118" s="30"/>
      <c r="Y118" s="30"/>
      <c r="Z118" s="30"/>
      <c r="AA118" s="30"/>
      <c r="AB118" s="30"/>
      <c r="AC118" s="29" t="str">
        <f>IF(F2="GEARLESS",1,"")</f>
        <v/>
      </c>
    </row>
    <row r="119" spans="1:29" x14ac:dyDescent="0.25">
      <c r="A119" s="16" t="s">
        <v>189</v>
      </c>
      <c r="B119" s="17" t="s">
        <v>190</v>
      </c>
      <c r="C119" s="17" t="s">
        <v>32</v>
      </c>
      <c r="D119" s="17" t="s">
        <v>45</v>
      </c>
      <c r="E119" s="17">
        <v>32</v>
      </c>
      <c r="F119" s="18">
        <v>11417.934483659999</v>
      </c>
      <c r="G119" s="18">
        <v>11771.984483659999</v>
      </c>
      <c r="H119" s="18">
        <v>13094.891317319998</v>
      </c>
      <c r="I119" s="30"/>
      <c r="J119" s="30" t="s">
        <v>64</v>
      </c>
      <c r="K119" s="20" t="s">
        <v>64</v>
      </c>
      <c r="L119" s="30"/>
      <c r="M119" s="30"/>
      <c r="N119" s="30"/>
      <c r="O119" s="30"/>
      <c r="P119" s="30"/>
      <c r="Q119" s="30"/>
      <c r="R119" s="26" t="str">
        <f t="shared" si="16"/>
        <v/>
      </c>
      <c r="S119" s="21" t="str">
        <f t="shared" si="17"/>
        <v/>
      </c>
      <c r="T119" s="21" t="str">
        <f t="shared" si="18"/>
        <v/>
      </c>
      <c r="U119" s="21" t="str">
        <f t="shared" si="19"/>
        <v/>
      </c>
      <c r="V119" s="21" t="str">
        <f t="shared" si="20"/>
        <v/>
      </c>
      <c r="W119" s="30"/>
      <c r="X119" s="30"/>
      <c r="Y119" s="30"/>
      <c r="Z119" s="30"/>
      <c r="AA119" s="30"/>
      <c r="AB119" s="30"/>
      <c r="AC119" s="30"/>
    </row>
    <row r="120" spans="1:29" x14ac:dyDescent="0.25">
      <c r="A120" s="16" t="s">
        <v>191</v>
      </c>
      <c r="B120" s="17" t="s">
        <v>192</v>
      </c>
      <c r="C120" s="17" t="s">
        <v>32</v>
      </c>
      <c r="D120" s="17" t="s">
        <v>45</v>
      </c>
      <c r="E120" s="17">
        <v>260</v>
      </c>
      <c r="F120" s="18">
        <v>11417.934483659999</v>
      </c>
      <c r="G120" s="18">
        <v>11771.984483659999</v>
      </c>
      <c r="H120" s="18">
        <v>13094.891317319998</v>
      </c>
      <c r="I120" s="30"/>
      <c r="J120" s="30" t="s">
        <v>64</v>
      </c>
      <c r="K120" s="20" t="s">
        <v>64</v>
      </c>
      <c r="L120" s="30"/>
      <c r="M120" s="30"/>
      <c r="N120" s="30"/>
      <c r="O120" s="30"/>
      <c r="P120" s="30"/>
      <c r="Q120" s="30"/>
      <c r="R120" s="26" t="str">
        <f t="shared" si="16"/>
        <v/>
      </c>
      <c r="S120" s="21" t="str">
        <f t="shared" si="17"/>
        <v/>
      </c>
      <c r="T120" s="21" t="str">
        <f t="shared" si="18"/>
        <v/>
      </c>
      <c r="U120" s="21" t="str">
        <f t="shared" si="19"/>
        <v/>
      </c>
      <c r="V120" s="21" t="str">
        <f t="shared" si="20"/>
        <v/>
      </c>
      <c r="W120" s="30"/>
      <c r="X120" s="30"/>
      <c r="Y120" s="30"/>
      <c r="Z120" s="30"/>
      <c r="AA120" s="30"/>
      <c r="AB120" s="30"/>
      <c r="AC120" s="30"/>
    </row>
    <row r="121" spans="1:29" x14ac:dyDescent="0.25">
      <c r="A121" s="16" t="s">
        <v>193</v>
      </c>
      <c r="B121" s="17" t="s">
        <v>194</v>
      </c>
      <c r="C121" s="17" t="s">
        <v>35</v>
      </c>
      <c r="D121" s="17" t="s">
        <v>61</v>
      </c>
      <c r="E121" s="17">
        <v>1.5</v>
      </c>
      <c r="F121" s="18">
        <v>6455.6572640000004</v>
      </c>
      <c r="G121" s="18">
        <v>6649.6572640000004</v>
      </c>
      <c r="H121" s="18">
        <v>7273.7925279999999</v>
      </c>
      <c r="I121" s="30"/>
      <c r="J121" s="30" t="s">
        <v>64</v>
      </c>
      <c r="K121" s="20" t="s">
        <v>64</v>
      </c>
      <c r="L121" s="30"/>
      <c r="M121" s="30"/>
      <c r="N121" s="30"/>
      <c r="O121" s="30"/>
      <c r="P121" s="30"/>
      <c r="Q121" s="30"/>
      <c r="R121" s="26" t="str">
        <f t="shared" si="16"/>
        <v/>
      </c>
      <c r="S121" s="21" t="str">
        <f t="shared" si="17"/>
        <v/>
      </c>
      <c r="T121" s="21" t="str">
        <f t="shared" si="18"/>
        <v/>
      </c>
      <c r="U121" s="21" t="str">
        <f t="shared" si="19"/>
        <v/>
      </c>
      <c r="V121" s="21" t="str">
        <f t="shared" si="20"/>
        <v/>
      </c>
      <c r="W121" s="30"/>
      <c r="X121" s="30"/>
      <c r="Y121" s="30"/>
      <c r="Z121" s="30"/>
      <c r="AA121" s="30"/>
      <c r="AB121" s="30"/>
      <c r="AC121" s="30"/>
    </row>
    <row r="122" spans="1:29" x14ac:dyDescent="0.25">
      <c r="A122" s="16" t="s">
        <v>195</v>
      </c>
      <c r="B122" s="17" t="s">
        <v>196</v>
      </c>
      <c r="C122" s="17" t="s">
        <v>36</v>
      </c>
      <c r="D122" s="17" t="s">
        <v>61</v>
      </c>
      <c r="E122" s="17">
        <v>420</v>
      </c>
      <c r="F122" s="18">
        <v>14077.769274</v>
      </c>
      <c r="G122" s="18">
        <v>14514.269274</v>
      </c>
      <c r="H122" s="18">
        <v>16146.114047999999</v>
      </c>
      <c r="I122" s="30"/>
      <c r="J122" s="30"/>
      <c r="K122" s="30"/>
      <c r="L122" s="30"/>
      <c r="M122" s="30"/>
      <c r="N122" s="30"/>
      <c r="O122" s="30"/>
      <c r="P122" s="30"/>
      <c r="Q122" s="30"/>
      <c r="R122" s="26" t="str">
        <f t="shared" si="16"/>
        <v/>
      </c>
      <c r="S122" s="21" t="str">
        <f t="shared" si="17"/>
        <v/>
      </c>
      <c r="T122" s="21" t="str">
        <f t="shared" si="18"/>
        <v/>
      </c>
      <c r="U122" s="21" t="str">
        <f t="shared" si="19"/>
        <v/>
      </c>
      <c r="V122" s="21" t="str">
        <f t="shared" si="20"/>
        <v/>
      </c>
      <c r="W122" s="30"/>
      <c r="X122" s="30"/>
      <c r="Y122" s="30"/>
      <c r="Z122" s="30"/>
      <c r="AA122" s="30"/>
      <c r="AB122" s="30"/>
      <c r="AC122" s="30"/>
    </row>
    <row r="123" spans="1:29" x14ac:dyDescent="0.25">
      <c r="A123" s="16" t="s">
        <v>197</v>
      </c>
      <c r="B123" s="17" t="s">
        <v>198</v>
      </c>
      <c r="C123" s="17" t="s">
        <v>42</v>
      </c>
      <c r="D123" s="17" t="s">
        <v>61</v>
      </c>
      <c r="E123" s="17">
        <v>460</v>
      </c>
      <c r="F123" s="18">
        <v>62.547630326399997</v>
      </c>
      <c r="G123" s="18">
        <v>64.487630326399994</v>
      </c>
      <c r="H123" s="18">
        <v>71.720040652799995</v>
      </c>
      <c r="I123" s="30">
        <v>1</v>
      </c>
      <c r="J123" s="30"/>
      <c r="K123" s="30"/>
      <c r="L123" s="30"/>
      <c r="M123" s="30"/>
      <c r="N123" s="30"/>
      <c r="O123" s="30"/>
      <c r="P123" s="30"/>
      <c r="Q123" s="30"/>
      <c r="R123" s="26">
        <f t="shared" si="16"/>
        <v>1</v>
      </c>
      <c r="S123" s="21" t="str">
        <f t="shared" si="17"/>
        <v/>
      </c>
      <c r="T123" s="21" t="str">
        <f t="shared" si="18"/>
        <v/>
      </c>
      <c r="U123" s="21" t="str">
        <f t="shared" si="19"/>
        <v/>
      </c>
      <c r="V123" s="21" t="str">
        <f t="shared" si="20"/>
        <v/>
      </c>
      <c r="W123" s="30"/>
      <c r="X123" s="30"/>
      <c r="Y123" s="30"/>
      <c r="Z123" s="30"/>
      <c r="AA123" s="30"/>
      <c r="AB123" s="20"/>
      <c r="AC123" s="21">
        <v>1</v>
      </c>
    </row>
    <row r="124" spans="1:29" x14ac:dyDescent="0.25">
      <c r="A124" s="16" t="s">
        <v>199</v>
      </c>
      <c r="B124" s="17" t="s">
        <v>200</v>
      </c>
      <c r="C124" s="17" t="s">
        <v>41</v>
      </c>
      <c r="D124" s="17" t="s">
        <v>61</v>
      </c>
      <c r="E124" s="17">
        <v>510</v>
      </c>
      <c r="F124" s="18">
        <v>35</v>
      </c>
      <c r="G124" s="18">
        <v>37</v>
      </c>
      <c r="H124" s="18">
        <v>45</v>
      </c>
      <c r="I124" s="30">
        <v>20</v>
      </c>
      <c r="J124" s="30"/>
      <c r="K124" s="30"/>
      <c r="L124" s="30"/>
      <c r="M124" s="30"/>
      <c r="N124" s="30"/>
      <c r="O124" s="30"/>
      <c r="P124" s="30"/>
      <c r="Q124" s="30"/>
      <c r="R124" s="26">
        <f t="shared" si="16"/>
        <v>20</v>
      </c>
      <c r="S124" s="21" t="str">
        <f t="shared" si="17"/>
        <v/>
      </c>
      <c r="T124" s="21" t="str">
        <f t="shared" si="18"/>
        <v/>
      </c>
      <c r="U124" s="21" t="str">
        <f t="shared" si="19"/>
        <v/>
      </c>
      <c r="V124" s="21" t="str">
        <f t="shared" si="20"/>
        <v/>
      </c>
      <c r="W124" s="30"/>
      <c r="X124" s="30"/>
      <c r="Y124" s="30"/>
      <c r="Z124" s="30"/>
      <c r="AA124" s="30"/>
      <c r="AB124" s="21">
        <f>IF(F2="HYDRAULIQUE","",INT((450+G2*40)/31)+1)</f>
        <v>20</v>
      </c>
      <c r="AC124" s="30"/>
    </row>
    <row r="125" spans="1:29" x14ac:dyDescent="0.25">
      <c r="A125" s="16" t="s">
        <v>201</v>
      </c>
      <c r="B125" s="17" t="s">
        <v>202</v>
      </c>
      <c r="C125" s="17" t="s">
        <v>33</v>
      </c>
      <c r="D125" s="17" t="s">
        <v>61</v>
      </c>
      <c r="E125" s="17">
        <v>560</v>
      </c>
      <c r="F125" s="18">
        <v>0</v>
      </c>
      <c r="G125" s="18">
        <v>0</v>
      </c>
      <c r="H125" s="18">
        <v>0</v>
      </c>
      <c r="I125" s="30"/>
      <c r="J125" s="30"/>
      <c r="K125" s="30"/>
      <c r="L125" s="30"/>
      <c r="M125" s="30"/>
      <c r="N125" s="30"/>
      <c r="O125" s="30"/>
      <c r="P125" s="30"/>
      <c r="Q125" s="30"/>
      <c r="R125" s="26" t="str">
        <f t="shared" si="16"/>
        <v/>
      </c>
      <c r="S125" s="21" t="str">
        <f t="shared" si="17"/>
        <v/>
      </c>
      <c r="T125" s="21" t="str">
        <f t="shared" si="18"/>
        <v/>
      </c>
      <c r="U125" s="21" t="str">
        <f t="shared" si="19"/>
        <v/>
      </c>
      <c r="V125" s="21" t="str">
        <f t="shared" si="20"/>
        <v/>
      </c>
      <c r="W125" s="30"/>
      <c r="X125" s="30"/>
      <c r="Y125" s="30"/>
      <c r="Z125" s="30"/>
      <c r="AA125" s="30"/>
      <c r="AB125" s="30"/>
      <c r="AC125" s="30"/>
    </row>
    <row r="126" spans="1:29" x14ac:dyDescent="0.25">
      <c r="A126" s="16" t="s">
        <v>203</v>
      </c>
      <c r="B126" s="17" t="s">
        <v>204</v>
      </c>
      <c r="C126" s="17" t="s">
        <v>33</v>
      </c>
      <c r="D126" s="17" t="s">
        <v>61</v>
      </c>
      <c r="E126" s="17">
        <v>140</v>
      </c>
      <c r="F126" s="18">
        <v>24438.774104683194</v>
      </c>
      <c r="G126" s="18">
        <v>25196.349862258954</v>
      </c>
      <c r="H126" s="18">
        <v>28034.366391184572</v>
      </c>
      <c r="I126" s="30"/>
      <c r="J126" s="30"/>
      <c r="K126" s="30"/>
      <c r="L126" s="30"/>
      <c r="M126" s="30"/>
      <c r="N126" s="30"/>
      <c r="O126" s="30"/>
      <c r="P126" s="30"/>
      <c r="Q126" s="30"/>
      <c r="R126" s="26" t="str">
        <f t="shared" si="16"/>
        <v/>
      </c>
      <c r="S126" s="21" t="str">
        <f t="shared" si="17"/>
        <v/>
      </c>
      <c r="T126" s="21" t="str">
        <f t="shared" si="18"/>
        <v/>
      </c>
      <c r="U126" s="21" t="str">
        <f t="shared" si="19"/>
        <v/>
      </c>
      <c r="V126" s="21" t="str">
        <f t="shared" si="20"/>
        <v/>
      </c>
      <c r="W126" s="30"/>
      <c r="X126" s="30"/>
      <c r="Y126" s="30"/>
      <c r="Z126" s="30"/>
      <c r="AA126" s="30"/>
      <c r="AB126" s="30"/>
      <c r="AC126" s="30"/>
    </row>
    <row r="127" spans="1:29" x14ac:dyDescent="0.25">
      <c r="A127" s="16" t="s">
        <v>205</v>
      </c>
      <c r="B127" s="17" t="s">
        <v>206</v>
      </c>
      <c r="C127" s="17" t="s">
        <v>33</v>
      </c>
      <c r="D127" s="17" t="s">
        <v>61</v>
      </c>
      <c r="E127" s="17">
        <v>135</v>
      </c>
      <c r="F127" s="18">
        <v>0</v>
      </c>
      <c r="G127" s="18">
        <v>0</v>
      </c>
      <c r="H127" s="18">
        <v>0</v>
      </c>
      <c r="I127" s="30"/>
      <c r="J127" s="30"/>
      <c r="K127" s="30"/>
      <c r="L127" s="30"/>
      <c r="M127" s="30"/>
      <c r="N127" s="30"/>
      <c r="O127" s="30"/>
      <c r="P127" s="30"/>
      <c r="Q127" s="30"/>
      <c r="R127" s="26" t="str">
        <f t="shared" si="16"/>
        <v/>
      </c>
      <c r="S127" s="21" t="str">
        <f t="shared" si="17"/>
        <v/>
      </c>
      <c r="T127" s="21" t="str">
        <f t="shared" si="18"/>
        <v/>
      </c>
      <c r="U127" s="21" t="str">
        <f t="shared" si="19"/>
        <v/>
      </c>
      <c r="V127" s="21" t="str">
        <f t="shared" si="20"/>
        <v/>
      </c>
      <c r="W127" s="30"/>
      <c r="X127" s="30"/>
      <c r="Y127" s="30"/>
      <c r="Z127" s="30"/>
      <c r="AA127" s="30"/>
      <c r="AB127" s="30"/>
      <c r="AC127" s="30"/>
    </row>
    <row r="128" spans="1:29" x14ac:dyDescent="0.25">
      <c r="A128" s="16" t="s">
        <v>207</v>
      </c>
      <c r="B128" s="17" t="s">
        <v>208</v>
      </c>
      <c r="C128" s="17" t="s">
        <v>33</v>
      </c>
      <c r="D128" s="17" t="s">
        <v>61</v>
      </c>
      <c r="E128" s="17">
        <v>35</v>
      </c>
      <c r="F128" s="18">
        <v>0</v>
      </c>
      <c r="G128" s="18">
        <v>0</v>
      </c>
      <c r="H128" s="18">
        <v>0</v>
      </c>
      <c r="I128" s="30"/>
      <c r="J128" s="30"/>
      <c r="K128" s="30"/>
      <c r="L128" s="30"/>
      <c r="M128" s="30"/>
      <c r="N128" s="30"/>
      <c r="O128" s="30"/>
      <c r="P128" s="30"/>
      <c r="Q128" s="30"/>
      <c r="R128" s="26" t="str">
        <f t="shared" si="16"/>
        <v/>
      </c>
      <c r="S128" s="21" t="str">
        <f t="shared" si="17"/>
        <v/>
      </c>
      <c r="T128" s="21" t="str">
        <f t="shared" si="18"/>
        <v/>
      </c>
      <c r="U128" s="21" t="str">
        <f t="shared" si="19"/>
        <v/>
      </c>
      <c r="V128" s="21" t="str">
        <f t="shared" si="20"/>
        <v/>
      </c>
      <c r="W128" s="30"/>
      <c r="X128" s="30"/>
      <c r="Y128" s="30"/>
      <c r="Z128" s="30"/>
      <c r="AA128" s="30"/>
      <c r="AB128" s="30"/>
      <c r="AC128" s="30"/>
    </row>
    <row r="129" spans="1:29" x14ac:dyDescent="0.25">
      <c r="A129" s="16" t="s">
        <v>209</v>
      </c>
      <c r="B129" s="17" t="s">
        <v>210</v>
      </c>
      <c r="C129" s="17" t="s">
        <v>35</v>
      </c>
      <c r="D129" s="17" t="s">
        <v>61</v>
      </c>
      <c r="E129" s="17">
        <v>110</v>
      </c>
      <c r="F129" s="18">
        <v>5160.7868340599989</v>
      </c>
      <c r="G129" s="18">
        <v>5320.8368340599991</v>
      </c>
      <c r="H129" s="18">
        <v>5918.1180181199998</v>
      </c>
      <c r="I129" s="30"/>
      <c r="J129" s="30"/>
      <c r="K129" s="30"/>
      <c r="L129" s="30"/>
      <c r="M129" s="30"/>
      <c r="N129" s="30"/>
      <c r="O129" s="30"/>
      <c r="P129" s="30"/>
      <c r="Q129" s="30"/>
      <c r="R129" s="26" t="str">
        <f t="shared" si="16"/>
        <v/>
      </c>
      <c r="S129" s="21" t="str">
        <f t="shared" si="17"/>
        <v/>
      </c>
      <c r="T129" s="21" t="str">
        <f t="shared" si="18"/>
        <v/>
      </c>
      <c r="U129" s="21" t="str">
        <f t="shared" si="19"/>
        <v/>
      </c>
      <c r="V129" s="21" t="str">
        <f t="shared" si="20"/>
        <v/>
      </c>
      <c r="W129" s="30"/>
      <c r="X129" s="30"/>
      <c r="Y129" s="30"/>
      <c r="Z129" s="30"/>
      <c r="AA129" s="30"/>
      <c r="AB129" s="30"/>
      <c r="AC129" s="30"/>
    </row>
    <row r="130" spans="1:29" x14ac:dyDescent="0.25">
      <c r="A130" s="16" t="s">
        <v>211</v>
      </c>
      <c r="B130" s="17" t="s">
        <v>212</v>
      </c>
      <c r="C130" s="17" t="s">
        <v>34</v>
      </c>
      <c r="D130" s="17" t="s">
        <v>61</v>
      </c>
      <c r="E130" s="17">
        <v>135</v>
      </c>
      <c r="F130" s="18">
        <v>3518.584923375</v>
      </c>
      <c r="G130" s="18">
        <v>3627.709923375</v>
      </c>
      <c r="H130" s="18">
        <v>4034.8137217500002</v>
      </c>
      <c r="I130" s="30"/>
      <c r="J130" s="30"/>
      <c r="K130" s="30"/>
      <c r="L130" s="30"/>
      <c r="M130" s="30"/>
      <c r="N130" s="30"/>
      <c r="O130" s="30"/>
      <c r="P130" s="30"/>
      <c r="Q130" s="30"/>
      <c r="R130" s="26" t="str">
        <f t="shared" ref="R130:R161" si="21">IF(SUM(S130:AC130)&lt;&gt;0,SUM(S130:AC130),"")</f>
        <v/>
      </c>
      <c r="S130" s="21" t="str">
        <f t="shared" si="17"/>
        <v/>
      </c>
      <c r="T130" s="21" t="str">
        <f t="shared" si="18"/>
        <v/>
      </c>
      <c r="U130" s="21" t="str">
        <f t="shared" si="19"/>
        <v/>
      </c>
      <c r="V130" s="21" t="str">
        <f t="shared" si="20"/>
        <v/>
      </c>
      <c r="W130" s="30"/>
      <c r="X130" s="30"/>
      <c r="Y130" s="30"/>
      <c r="Z130" s="30"/>
      <c r="AA130" s="30"/>
      <c r="AB130" s="30"/>
      <c r="AC130" s="30"/>
    </row>
    <row r="131" spans="1:29" x14ac:dyDescent="0.25">
      <c r="A131" s="16" t="s">
        <v>213</v>
      </c>
      <c r="B131" s="34" t="s">
        <v>214</v>
      </c>
      <c r="C131" s="17" t="s">
        <v>34</v>
      </c>
      <c r="D131" s="17" t="s">
        <v>61</v>
      </c>
      <c r="E131" s="17">
        <v>135</v>
      </c>
      <c r="F131" s="18">
        <v>2893.0169388149993</v>
      </c>
      <c r="G131" s="18">
        <v>2982.7419388149992</v>
      </c>
      <c r="H131" s="18">
        <v>3317.4299526299997</v>
      </c>
      <c r="I131" s="30"/>
      <c r="J131" s="30"/>
      <c r="K131" s="30"/>
      <c r="L131" s="30"/>
      <c r="M131" s="30"/>
      <c r="N131" s="30"/>
      <c r="O131" s="30"/>
      <c r="P131" s="30"/>
      <c r="Q131" s="30"/>
      <c r="R131" s="26" t="str">
        <f t="shared" si="21"/>
        <v/>
      </c>
      <c r="S131" s="21" t="str">
        <f t="shared" si="17"/>
        <v/>
      </c>
      <c r="T131" s="21" t="str">
        <f t="shared" si="18"/>
        <v/>
      </c>
      <c r="U131" s="21" t="str">
        <f t="shared" si="19"/>
        <v/>
      </c>
      <c r="V131" s="21" t="str">
        <f t="shared" si="20"/>
        <v/>
      </c>
      <c r="W131" s="30"/>
      <c r="X131" s="30"/>
      <c r="Y131" s="30"/>
      <c r="Z131" s="30"/>
      <c r="AA131" s="30"/>
      <c r="AB131" s="30"/>
      <c r="AC131" s="30"/>
    </row>
    <row r="132" spans="1:29" x14ac:dyDescent="0.25">
      <c r="A132" s="16" t="s">
        <v>215</v>
      </c>
      <c r="B132" s="34" t="s">
        <v>385</v>
      </c>
      <c r="C132" s="17" t="s">
        <v>34</v>
      </c>
      <c r="D132" s="17" t="s">
        <v>61</v>
      </c>
      <c r="E132" s="17">
        <v>135</v>
      </c>
      <c r="F132" s="18">
        <v>0</v>
      </c>
      <c r="G132" s="18">
        <v>0</v>
      </c>
      <c r="H132" s="18">
        <v>0</v>
      </c>
      <c r="I132" s="30"/>
      <c r="J132" s="30"/>
      <c r="K132" s="30"/>
      <c r="L132" s="30"/>
      <c r="M132" s="30"/>
      <c r="N132" s="30"/>
      <c r="O132" s="30"/>
      <c r="P132" s="30"/>
      <c r="Q132" s="30"/>
      <c r="R132" s="26" t="str">
        <f t="shared" si="21"/>
        <v/>
      </c>
      <c r="S132" s="21" t="str">
        <f t="shared" si="17"/>
        <v/>
      </c>
      <c r="T132" s="21" t="str">
        <f t="shared" si="18"/>
        <v/>
      </c>
      <c r="U132" s="21" t="str">
        <f t="shared" si="19"/>
        <v/>
      </c>
      <c r="V132" s="21" t="str">
        <f t="shared" si="20"/>
        <v/>
      </c>
      <c r="W132" s="30"/>
      <c r="X132" s="30"/>
      <c r="Y132" s="30"/>
      <c r="Z132" s="30"/>
      <c r="AA132" s="30"/>
      <c r="AB132" s="30"/>
      <c r="AC132" s="30"/>
    </row>
    <row r="133" spans="1:29" x14ac:dyDescent="0.25">
      <c r="A133" s="16" t="s">
        <v>216</v>
      </c>
      <c r="B133" s="17" t="s">
        <v>386</v>
      </c>
      <c r="C133" s="17" t="s">
        <v>34</v>
      </c>
      <c r="D133" s="17" t="s">
        <v>61</v>
      </c>
      <c r="E133" s="17">
        <v>135</v>
      </c>
      <c r="F133" s="18">
        <v>0</v>
      </c>
      <c r="G133" s="18">
        <v>0</v>
      </c>
      <c r="H133" s="18">
        <v>0</v>
      </c>
      <c r="I133" s="30"/>
      <c r="J133" s="20"/>
      <c r="K133" s="20"/>
      <c r="L133" s="30"/>
      <c r="M133" s="30"/>
      <c r="N133" s="30"/>
      <c r="O133" s="30"/>
      <c r="P133" s="30"/>
      <c r="Q133" s="30"/>
      <c r="R133" s="26" t="str">
        <f t="shared" si="21"/>
        <v/>
      </c>
      <c r="S133" s="21" t="str">
        <f t="shared" si="17"/>
        <v/>
      </c>
      <c r="T133" s="21" t="str">
        <f t="shared" si="18"/>
        <v/>
      </c>
      <c r="U133" s="21" t="str">
        <f t="shared" si="19"/>
        <v/>
      </c>
      <c r="V133" s="21" t="str">
        <f t="shared" si="20"/>
        <v/>
      </c>
      <c r="W133" s="30"/>
      <c r="X133" s="30"/>
      <c r="Y133" s="30"/>
      <c r="Z133" s="30"/>
      <c r="AA133" s="30"/>
      <c r="AB133" s="30"/>
      <c r="AC133" s="30"/>
    </row>
    <row r="134" spans="1:29" x14ac:dyDescent="0.25">
      <c r="A134" s="16" t="s">
        <v>217</v>
      </c>
      <c r="B134" s="17" t="s">
        <v>387</v>
      </c>
      <c r="C134" s="17" t="s">
        <v>35</v>
      </c>
      <c r="D134" s="17" t="s">
        <v>61</v>
      </c>
      <c r="E134" s="17">
        <v>110</v>
      </c>
      <c r="F134" s="18">
        <v>0</v>
      </c>
      <c r="G134" s="18">
        <v>0</v>
      </c>
      <c r="H134" s="18">
        <v>0</v>
      </c>
      <c r="I134" s="30"/>
      <c r="J134" s="20"/>
      <c r="K134" s="20"/>
      <c r="L134" s="30"/>
      <c r="M134" s="30"/>
      <c r="N134" s="30"/>
      <c r="O134" s="30"/>
      <c r="P134" s="30"/>
      <c r="Q134" s="30"/>
      <c r="R134" s="26" t="str">
        <f t="shared" si="21"/>
        <v/>
      </c>
      <c r="S134" s="21" t="str">
        <f t="shared" si="17"/>
        <v/>
      </c>
      <c r="T134" s="21" t="str">
        <f t="shared" si="18"/>
        <v/>
      </c>
      <c r="U134" s="21" t="str">
        <f t="shared" si="19"/>
        <v/>
      </c>
      <c r="V134" s="21" t="str">
        <f t="shared" si="20"/>
        <v/>
      </c>
      <c r="W134" s="30"/>
      <c r="X134" s="30"/>
      <c r="Y134" s="30"/>
      <c r="Z134" s="30"/>
      <c r="AA134" s="30"/>
      <c r="AB134" s="30"/>
      <c r="AC134" s="30"/>
    </row>
    <row r="135" spans="1:29" x14ac:dyDescent="0.25">
      <c r="A135" s="16" t="s">
        <v>218</v>
      </c>
      <c r="B135" s="17" t="s">
        <v>388</v>
      </c>
      <c r="C135" s="17" t="s">
        <v>33</v>
      </c>
      <c r="D135" s="17" t="s">
        <v>61</v>
      </c>
      <c r="E135" s="17">
        <v>28</v>
      </c>
      <c r="F135" s="18">
        <v>12810.3955291494</v>
      </c>
      <c r="G135" s="18">
        <v>13207.6105291494</v>
      </c>
      <c r="H135" s="18">
        <v>14692.214763298798</v>
      </c>
      <c r="I135" s="30">
        <v>1</v>
      </c>
      <c r="J135" s="20"/>
      <c r="K135" s="20"/>
      <c r="L135" s="30"/>
      <c r="M135" s="30"/>
      <c r="N135" s="30"/>
      <c r="O135" s="30"/>
      <c r="P135" s="30"/>
      <c r="Q135" s="30"/>
      <c r="R135" s="26">
        <f t="shared" si="21"/>
        <v>1</v>
      </c>
      <c r="S135" s="21" t="str">
        <f t="shared" si="17"/>
        <v/>
      </c>
      <c r="T135" s="21">
        <f t="shared" si="18"/>
        <v>1</v>
      </c>
      <c r="U135" s="21" t="str">
        <f t="shared" si="19"/>
        <v/>
      </c>
      <c r="V135" s="21" t="str">
        <f t="shared" si="20"/>
        <v/>
      </c>
      <c r="W135" s="30"/>
      <c r="X135" s="30"/>
      <c r="Y135" s="30"/>
      <c r="Z135" s="30"/>
      <c r="AA135" s="30"/>
      <c r="AB135" s="30"/>
      <c r="AC135" s="30"/>
    </row>
    <row r="136" spans="1:29" x14ac:dyDescent="0.25">
      <c r="A136" s="16" t="s">
        <v>219</v>
      </c>
      <c r="B136" s="17" t="s">
        <v>389</v>
      </c>
      <c r="C136" s="17" t="s">
        <v>33</v>
      </c>
      <c r="D136" s="17" t="s">
        <v>61</v>
      </c>
      <c r="E136" s="17">
        <v>32</v>
      </c>
      <c r="F136" s="18">
        <v>14371.153384710937</v>
      </c>
      <c r="G136" s="18">
        <v>14816.747134710937</v>
      </c>
      <c r="H136" s="18">
        <v>16482.685925671874</v>
      </c>
      <c r="I136" s="30"/>
      <c r="J136" s="20"/>
      <c r="K136" s="20"/>
      <c r="L136" s="30"/>
      <c r="M136" s="30"/>
      <c r="N136" s="30"/>
      <c r="O136" s="30"/>
      <c r="P136" s="30"/>
      <c r="Q136" s="30"/>
      <c r="R136" s="26" t="str">
        <f t="shared" si="21"/>
        <v/>
      </c>
      <c r="S136" s="21" t="str">
        <f t="shared" si="17"/>
        <v/>
      </c>
      <c r="T136" s="21" t="str">
        <f t="shared" si="18"/>
        <v/>
      </c>
      <c r="U136" s="21" t="str">
        <f t="shared" si="19"/>
        <v/>
      </c>
      <c r="V136" s="21" t="str">
        <f t="shared" si="20"/>
        <v/>
      </c>
      <c r="W136" s="30"/>
      <c r="X136" s="30"/>
      <c r="Y136" s="30"/>
      <c r="Z136" s="30"/>
      <c r="AA136" s="30"/>
      <c r="AB136" s="30"/>
      <c r="AC136" s="30"/>
    </row>
    <row r="137" spans="1:29" x14ac:dyDescent="0.25">
      <c r="A137" s="16" t="s">
        <v>220</v>
      </c>
      <c r="B137" s="17" t="s">
        <v>390</v>
      </c>
      <c r="C137" s="17" t="s">
        <v>33</v>
      </c>
      <c r="D137" s="17" t="s">
        <v>61</v>
      </c>
      <c r="E137" s="17">
        <v>210</v>
      </c>
      <c r="F137" s="18">
        <v>16659.685678815003</v>
      </c>
      <c r="G137" s="18">
        <v>17176.210678815001</v>
      </c>
      <c r="H137" s="18">
        <v>19108.219032630001</v>
      </c>
      <c r="I137" s="30"/>
      <c r="J137" s="20"/>
      <c r="K137" s="20"/>
      <c r="L137" s="30"/>
      <c r="M137" s="30"/>
      <c r="N137" s="30"/>
      <c r="O137" s="30"/>
      <c r="P137" s="30"/>
      <c r="Q137" s="30"/>
      <c r="R137" s="26" t="str">
        <f t="shared" si="21"/>
        <v/>
      </c>
      <c r="S137" s="21" t="str">
        <f t="shared" si="17"/>
        <v/>
      </c>
      <c r="T137" s="21" t="str">
        <f t="shared" si="18"/>
        <v/>
      </c>
      <c r="U137" s="21" t="str">
        <f t="shared" si="19"/>
        <v/>
      </c>
      <c r="V137" s="21" t="str">
        <f t="shared" si="20"/>
        <v/>
      </c>
      <c r="W137" s="30"/>
      <c r="X137" s="30"/>
      <c r="Y137" s="30"/>
      <c r="Z137" s="30"/>
      <c r="AA137" s="30"/>
      <c r="AB137" s="30"/>
      <c r="AC137" s="30"/>
    </row>
    <row r="138" spans="1:29" x14ac:dyDescent="0.25">
      <c r="A138" s="16" t="s">
        <v>221</v>
      </c>
      <c r="B138" s="34" t="s">
        <v>441</v>
      </c>
      <c r="C138" s="17" t="s">
        <v>32</v>
      </c>
      <c r="D138" s="17" t="s">
        <v>45</v>
      </c>
      <c r="E138" s="17">
        <v>0</v>
      </c>
      <c r="F138" s="18">
        <f>1900*1.65*9.8</f>
        <v>30723.000000000004</v>
      </c>
      <c r="G138" s="18">
        <f>1900*1.7*9.8</f>
        <v>31654.000000000004</v>
      </c>
      <c r="H138" s="18">
        <f>1900*1.65*9.8+1800</f>
        <v>32523.000000000004</v>
      </c>
      <c r="I138" s="30"/>
      <c r="J138" s="20"/>
      <c r="K138" s="20"/>
      <c r="L138" s="30"/>
      <c r="M138" s="30"/>
      <c r="N138" s="30"/>
      <c r="O138" s="30"/>
      <c r="P138" s="30"/>
      <c r="Q138" s="30"/>
      <c r="R138" s="26" t="str">
        <f t="shared" si="21"/>
        <v/>
      </c>
      <c r="S138" s="21" t="str">
        <f t="shared" si="17"/>
        <v/>
      </c>
      <c r="T138" s="21" t="str">
        <f t="shared" si="18"/>
        <v/>
      </c>
      <c r="U138" s="21" t="str">
        <f t="shared" si="19"/>
        <v/>
      </c>
      <c r="V138" s="21" t="str">
        <f t="shared" si="20"/>
        <v/>
      </c>
      <c r="W138" s="30"/>
      <c r="X138" s="30"/>
      <c r="Y138" s="30"/>
      <c r="Z138" s="30"/>
      <c r="AA138" s="30"/>
      <c r="AB138" s="30"/>
      <c r="AC138" s="30"/>
    </row>
    <row r="139" spans="1:29" x14ac:dyDescent="0.25">
      <c r="A139" s="16" t="s">
        <v>222</v>
      </c>
      <c r="B139" s="34" t="s">
        <v>442</v>
      </c>
      <c r="C139" s="17" t="s">
        <v>32</v>
      </c>
      <c r="D139" s="17" t="s">
        <v>45</v>
      </c>
      <c r="E139" s="17">
        <v>0</v>
      </c>
      <c r="F139" s="18">
        <f>200*1.65*9.8</f>
        <v>3234.0000000000005</v>
      </c>
      <c r="G139" s="18">
        <f>200*1.75*9.8</f>
        <v>3430.0000000000005</v>
      </c>
      <c r="H139" s="18">
        <f>200*1.75*9.8+500</f>
        <v>3930.0000000000005</v>
      </c>
      <c r="I139" s="30"/>
      <c r="J139" s="20"/>
      <c r="K139" s="20"/>
      <c r="L139" s="30"/>
      <c r="M139" s="30"/>
      <c r="N139" s="30"/>
      <c r="O139" s="30"/>
      <c r="P139" s="30"/>
      <c r="Q139" s="30"/>
      <c r="R139" s="26" t="str">
        <f t="shared" si="21"/>
        <v/>
      </c>
      <c r="S139" s="21" t="str">
        <f t="shared" si="17"/>
        <v/>
      </c>
      <c r="T139" s="21" t="str">
        <f t="shared" si="18"/>
        <v/>
      </c>
      <c r="U139" s="21" t="str">
        <f t="shared" si="19"/>
        <v/>
      </c>
      <c r="V139" s="21" t="str">
        <f t="shared" si="20"/>
        <v/>
      </c>
      <c r="W139" s="30"/>
      <c r="X139" s="30"/>
      <c r="Y139" s="30"/>
      <c r="Z139" s="30"/>
      <c r="AA139" s="30"/>
      <c r="AB139" s="30"/>
      <c r="AC139" s="30"/>
    </row>
    <row r="140" spans="1:29" x14ac:dyDescent="0.25">
      <c r="A140" s="16" t="s">
        <v>223</v>
      </c>
      <c r="B140" s="17" t="s">
        <v>224</v>
      </c>
      <c r="C140" s="17" t="s">
        <v>33</v>
      </c>
      <c r="D140" s="17" t="s">
        <v>61</v>
      </c>
      <c r="E140" s="17">
        <v>0</v>
      </c>
      <c r="F140" s="18">
        <v>0</v>
      </c>
      <c r="G140" s="18">
        <v>0</v>
      </c>
      <c r="H140" s="18">
        <v>0</v>
      </c>
      <c r="I140" s="30"/>
      <c r="J140" s="20" t="s">
        <v>64</v>
      </c>
      <c r="K140" s="20" t="s">
        <v>64</v>
      </c>
      <c r="L140" s="30"/>
      <c r="M140" s="30"/>
      <c r="N140" s="30"/>
      <c r="O140" s="30"/>
      <c r="P140" s="30"/>
      <c r="Q140" s="30"/>
      <c r="R140" s="26" t="str">
        <f t="shared" si="21"/>
        <v/>
      </c>
      <c r="S140" s="21" t="str">
        <f t="shared" si="17"/>
        <v/>
      </c>
      <c r="T140" s="21" t="str">
        <f t="shared" si="18"/>
        <v/>
      </c>
      <c r="U140" s="21" t="str">
        <f t="shared" si="19"/>
        <v/>
      </c>
      <c r="V140" s="21" t="str">
        <f t="shared" si="20"/>
        <v/>
      </c>
      <c r="W140" s="30"/>
      <c r="X140" s="30"/>
      <c r="Y140" s="30"/>
      <c r="Z140" s="30"/>
      <c r="AA140" s="30"/>
      <c r="AB140" s="30"/>
      <c r="AC140" s="30"/>
    </row>
    <row r="141" spans="1:29" x14ac:dyDescent="0.25">
      <c r="A141" s="16" t="s">
        <v>225</v>
      </c>
      <c r="B141" s="17" t="s">
        <v>226</v>
      </c>
      <c r="C141" s="17" t="s">
        <v>33</v>
      </c>
      <c r="D141" s="17" t="s">
        <v>61</v>
      </c>
      <c r="E141" s="17">
        <v>0</v>
      </c>
      <c r="F141" s="18">
        <v>25850</v>
      </c>
      <c r="G141" s="18">
        <v>26000</v>
      </c>
      <c r="H141" s="18">
        <v>26700</v>
      </c>
      <c r="I141" s="30"/>
      <c r="J141" s="20" t="s">
        <v>64</v>
      </c>
      <c r="K141" s="20" t="s">
        <v>64</v>
      </c>
      <c r="L141" s="30"/>
      <c r="M141" s="30"/>
      <c r="N141" s="30"/>
      <c r="O141" s="30"/>
      <c r="P141" s="30"/>
      <c r="Q141" s="30"/>
      <c r="R141" s="26" t="str">
        <f t="shared" si="21"/>
        <v/>
      </c>
      <c r="S141" s="21" t="str">
        <f t="shared" si="17"/>
        <v/>
      </c>
      <c r="T141" s="21" t="str">
        <f t="shared" si="18"/>
        <v/>
      </c>
      <c r="U141" s="21" t="str">
        <f t="shared" si="19"/>
        <v/>
      </c>
      <c r="V141" s="21" t="str">
        <f t="shared" si="20"/>
        <v/>
      </c>
      <c r="W141" s="30"/>
      <c r="X141" s="30"/>
      <c r="Y141" s="30"/>
      <c r="Z141" s="30"/>
      <c r="AA141" s="30"/>
      <c r="AB141" s="30"/>
      <c r="AC141" s="30"/>
    </row>
    <row r="142" spans="1:29" x14ac:dyDescent="0.25">
      <c r="A142" s="16" t="s">
        <v>227</v>
      </c>
      <c r="B142" s="17" t="s">
        <v>228</v>
      </c>
      <c r="C142" s="17" t="s">
        <v>33</v>
      </c>
      <c r="D142" s="17" t="s">
        <v>61</v>
      </c>
      <c r="E142" s="17">
        <v>0</v>
      </c>
      <c r="F142" s="35">
        <v>25850</v>
      </c>
      <c r="G142" s="35">
        <v>26000</v>
      </c>
      <c r="H142" s="35">
        <v>26700</v>
      </c>
      <c r="I142" s="30"/>
      <c r="J142" s="20" t="s">
        <v>64</v>
      </c>
      <c r="K142" s="20" t="s">
        <v>64</v>
      </c>
      <c r="L142" s="30"/>
      <c r="M142" s="30"/>
      <c r="N142" s="30"/>
      <c r="O142" s="30"/>
      <c r="P142" s="30"/>
      <c r="Q142" s="30"/>
      <c r="R142" s="26" t="str">
        <f t="shared" si="21"/>
        <v/>
      </c>
      <c r="S142" s="21" t="str">
        <f t="shared" si="17"/>
        <v/>
      </c>
      <c r="T142" s="21" t="str">
        <f t="shared" si="18"/>
        <v/>
      </c>
      <c r="U142" s="21" t="str">
        <f t="shared" si="19"/>
        <v/>
      </c>
      <c r="V142" s="21" t="str">
        <f t="shared" si="20"/>
        <v/>
      </c>
      <c r="W142" s="30"/>
      <c r="X142" s="30"/>
      <c r="Y142" s="30"/>
      <c r="Z142" s="30"/>
      <c r="AA142" s="30"/>
      <c r="AB142" s="30"/>
      <c r="AC142" s="30"/>
    </row>
    <row r="143" spans="1:29" x14ac:dyDescent="0.25">
      <c r="A143" s="16" t="s">
        <v>229</v>
      </c>
      <c r="B143" s="17" t="s">
        <v>230</v>
      </c>
      <c r="C143" s="17" t="s">
        <v>33</v>
      </c>
      <c r="D143" s="17" t="s">
        <v>61</v>
      </c>
      <c r="E143" s="17">
        <v>0</v>
      </c>
      <c r="F143" s="35">
        <v>0</v>
      </c>
      <c r="G143" s="35">
        <v>0</v>
      </c>
      <c r="H143" s="35">
        <v>0</v>
      </c>
      <c r="I143" s="30"/>
      <c r="J143" s="20" t="s">
        <v>64</v>
      </c>
      <c r="K143" s="20" t="s">
        <v>64</v>
      </c>
      <c r="L143" s="30"/>
      <c r="M143" s="30"/>
      <c r="N143" s="30"/>
      <c r="O143" s="30"/>
      <c r="P143" s="30"/>
      <c r="Q143" s="30"/>
      <c r="R143" s="26" t="str">
        <f t="shared" si="21"/>
        <v/>
      </c>
      <c r="S143" s="21" t="str">
        <f t="shared" si="17"/>
        <v/>
      </c>
      <c r="T143" s="21" t="str">
        <f t="shared" si="18"/>
        <v/>
      </c>
      <c r="U143" s="21" t="str">
        <f t="shared" si="19"/>
        <v/>
      </c>
      <c r="V143" s="21" t="str">
        <f t="shared" si="20"/>
        <v/>
      </c>
      <c r="W143" s="30"/>
      <c r="X143" s="30"/>
      <c r="Y143" s="30"/>
      <c r="Z143" s="30"/>
      <c r="AA143" s="30"/>
      <c r="AB143" s="30"/>
      <c r="AC143" s="30"/>
    </row>
    <row r="144" spans="1:29" x14ac:dyDescent="0.25">
      <c r="A144" s="16" t="s">
        <v>231</v>
      </c>
      <c r="B144" s="17" t="s">
        <v>232</v>
      </c>
      <c r="C144" s="17" t="s">
        <v>33</v>
      </c>
      <c r="D144" s="17" t="s">
        <v>61</v>
      </c>
      <c r="E144" s="17">
        <v>0</v>
      </c>
      <c r="F144" s="35">
        <v>0</v>
      </c>
      <c r="G144" s="35">
        <v>0</v>
      </c>
      <c r="H144" s="35">
        <v>0</v>
      </c>
      <c r="I144" s="30"/>
      <c r="J144" s="20" t="s">
        <v>64</v>
      </c>
      <c r="K144" s="20" t="s">
        <v>64</v>
      </c>
      <c r="L144" s="30"/>
      <c r="M144" s="30"/>
      <c r="N144" s="30"/>
      <c r="O144" s="30"/>
      <c r="P144" s="30"/>
      <c r="Q144" s="30"/>
      <c r="R144" s="26" t="str">
        <f t="shared" si="21"/>
        <v/>
      </c>
      <c r="S144" s="21" t="str">
        <f t="shared" si="17"/>
        <v/>
      </c>
      <c r="T144" s="21" t="str">
        <f t="shared" si="18"/>
        <v/>
      </c>
      <c r="U144" s="21" t="str">
        <f t="shared" si="19"/>
        <v/>
      </c>
      <c r="V144" s="21" t="str">
        <f t="shared" si="20"/>
        <v/>
      </c>
      <c r="W144" s="30"/>
      <c r="X144" s="30"/>
      <c r="Y144" s="30"/>
      <c r="Z144" s="30"/>
      <c r="AA144" s="30"/>
      <c r="AB144" s="30"/>
      <c r="AC144" s="30"/>
    </row>
    <row r="145" spans="1:29" x14ac:dyDescent="0.25">
      <c r="A145" s="16" t="s">
        <v>233</v>
      </c>
      <c r="B145" s="17" t="s">
        <v>413</v>
      </c>
      <c r="C145" s="17" t="s">
        <v>33</v>
      </c>
      <c r="D145" s="17" t="s">
        <v>61</v>
      </c>
      <c r="E145" s="17">
        <v>0</v>
      </c>
      <c r="F145" s="35">
        <v>0</v>
      </c>
      <c r="G145" s="35">
        <v>0</v>
      </c>
      <c r="H145" s="35">
        <v>0</v>
      </c>
      <c r="I145" s="30"/>
      <c r="J145" s="20" t="s">
        <v>64</v>
      </c>
      <c r="K145" s="20" t="s">
        <v>64</v>
      </c>
      <c r="L145" s="30"/>
      <c r="M145" s="30"/>
      <c r="N145" s="30"/>
      <c r="O145" s="30"/>
      <c r="P145" s="30"/>
      <c r="Q145" s="30"/>
      <c r="R145" s="26" t="str">
        <f t="shared" si="21"/>
        <v/>
      </c>
      <c r="S145" s="21" t="str">
        <f t="shared" si="17"/>
        <v/>
      </c>
      <c r="T145" s="21" t="str">
        <f t="shared" si="18"/>
        <v/>
      </c>
      <c r="U145" s="21" t="str">
        <f t="shared" si="19"/>
        <v/>
      </c>
      <c r="V145" s="21" t="str">
        <f t="shared" si="20"/>
        <v/>
      </c>
      <c r="W145" s="30"/>
      <c r="X145" s="30"/>
      <c r="Y145" s="30"/>
      <c r="Z145" s="30"/>
      <c r="AA145" s="30"/>
      <c r="AB145" s="30"/>
      <c r="AC145" s="30"/>
    </row>
    <row r="146" spans="1:29" x14ac:dyDescent="0.25">
      <c r="A146" s="16" t="s">
        <v>234</v>
      </c>
      <c r="B146" s="17" t="s">
        <v>414</v>
      </c>
      <c r="C146" s="17" t="s">
        <v>33</v>
      </c>
      <c r="D146" s="17" t="s">
        <v>61</v>
      </c>
      <c r="E146" s="17">
        <v>0</v>
      </c>
      <c r="F146" s="35">
        <v>0</v>
      </c>
      <c r="G146" s="35">
        <v>0</v>
      </c>
      <c r="H146" s="35">
        <v>0</v>
      </c>
      <c r="I146" s="30"/>
      <c r="J146" s="20" t="s">
        <v>64</v>
      </c>
      <c r="K146" s="20" t="s">
        <v>64</v>
      </c>
      <c r="L146" s="30"/>
      <c r="M146" s="30"/>
      <c r="N146" s="30"/>
      <c r="O146" s="30"/>
      <c r="P146" s="30"/>
      <c r="Q146" s="30"/>
      <c r="R146" s="26" t="str">
        <f t="shared" si="21"/>
        <v/>
      </c>
      <c r="S146" s="21" t="str">
        <f t="shared" si="17"/>
        <v/>
      </c>
      <c r="T146" s="21" t="str">
        <f t="shared" si="18"/>
        <v/>
      </c>
      <c r="U146" s="21" t="str">
        <f t="shared" si="19"/>
        <v/>
      </c>
      <c r="V146" s="21" t="str">
        <f t="shared" si="20"/>
        <v/>
      </c>
      <c r="W146" s="30"/>
      <c r="X146" s="30"/>
      <c r="Y146" s="30"/>
      <c r="Z146" s="30"/>
      <c r="AA146" s="30"/>
      <c r="AB146" s="30"/>
      <c r="AC146" s="30"/>
    </row>
    <row r="147" spans="1:29" x14ac:dyDescent="0.25">
      <c r="A147" s="16" t="s">
        <v>235</v>
      </c>
      <c r="B147" s="17" t="s">
        <v>415</v>
      </c>
      <c r="C147" s="17" t="s">
        <v>33</v>
      </c>
      <c r="D147" s="17" t="s">
        <v>61</v>
      </c>
      <c r="E147" s="17">
        <v>0</v>
      </c>
      <c r="F147" s="35">
        <v>0</v>
      </c>
      <c r="G147" s="35">
        <v>0</v>
      </c>
      <c r="H147" s="35">
        <v>0</v>
      </c>
      <c r="I147" s="30"/>
      <c r="J147" s="20" t="s">
        <v>64</v>
      </c>
      <c r="K147" s="20" t="s">
        <v>64</v>
      </c>
      <c r="L147" s="30"/>
      <c r="M147" s="30"/>
      <c r="N147" s="30"/>
      <c r="O147" s="30"/>
      <c r="P147" s="30"/>
      <c r="Q147" s="30"/>
      <c r="R147" s="26" t="str">
        <f t="shared" si="21"/>
        <v/>
      </c>
      <c r="S147" s="21" t="str">
        <f t="shared" si="17"/>
        <v/>
      </c>
      <c r="T147" s="21" t="str">
        <f t="shared" si="18"/>
        <v/>
      </c>
      <c r="U147" s="21" t="str">
        <f t="shared" si="19"/>
        <v/>
      </c>
      <c r="V147" s="21" t="str">
        <f t="shared" si="20"/>
        <v/>
      </c>
      <c r="W147" s="30"/>
      <c r="X147" s="30"/>
      <c r="Y147" s="30"/>
      <c r="Z147" s="30"/>
      <c r="AA147" s="30"/>
      <c r="AB147" s="30"/>
      <c r="AC147" s="30"/>
    </row>
    <row r="148" spans="1:29" x14ac:dyDescent="0.25">
      <c r="A148" s="16" t="s">
        <v>236</v>
      </c>
      <c r="B148" s="17" t="s">
        <v>416</v>
      </c>
      <c r="C148" s="17" t="s">
        <v>33</v>
      </c>
      <c r="D148" s="17" t="s">
        <v>61</v>
      </c>
      <c r="E148" s="17">
        <v>0</v>
      </c>
      <c r="F148" s="35">
        <v>0</v>
      </c>
      <c r="G148" s="35">
        <v>0</v>
      </c>
      <c r="H148" s="35">
        <v>0</v>
      </c>
      <c r="I148" s="30"/>
      <c r="J148" s="20" t="s">
        <v>64</v>
      </c>
      <c r="K148" s="20" t="s">
        <v>64</v>
      </c>
      <c r="L148" s="30"/>
      <c r="M148" s="30"/>
      <c r="N148" s="30"/>
      <c r="O148" s="30"/>
      <c r="P148" s="30"/>
      <c r="Q148" s="30"/>
      <c r="R148" s="26" t="str">
        <f t="shared" si="21"/>
        <v/>
      </c>
      <c r="S148" s="21" t="str">
        <f t="shared" si="17"/>
        <v/>
      </c>
      <c r="T148" s="21" t="str">
        <f t="shared" si="18"/>
        <v/>
      </c>
      <c r="U148" s="21" t="str">
        <f t="shared" si="19"/>
        <v/>
      </c>
      <c r="V148" s="21" t="str">
        <f t="shared" si="20"/>
        <v/>
      </c>
      <c r="W148" s="30"/>
      <c r="X148" s="30"/>
      <c r="Y148" s="30"/>
      <c r="Z148" s="30"/>
      <c r="AA148" s="30"/>
      <c r="AB148" s="30"/>
      <c r="AC148" s="30"/>
    </row>
    <row r="149" spans="1:29" x14ac:dyDescent="0.25">
      <c r="A149" s="16" t="s">
        <v>237</v>
      </c>
      <c r="B149" s="17" t="s">
        <v>417</v>
      </c>
      <c r="C149" s="17" t="s">
        <v>33</v>
      </c>
      <c r="D149" s="17" t="s">
        <v>61</v>
      </c>
      <c r="E149" s="17">
        <v>0</v>
      </c>
      <c r="F149" s="35">
        <v>0</v>
      </c>
      <c r="G149" s="35">
        <v>0</v>
      </c>
      <c r="H149" s="35">
        <v>0</v>
      </c>
      <c r="I149" s="30"/>
      <c r="J149" s="20" t="s">
        <v>64</v>
      </c>
      <c r="K149" s="20" t="s">
        <v>64</v>
      </c>
      <c r="L149" s="30"/>
      <c r="M149" s="30"/>
      <c r="N149" s="30"/>
      <c r="O149" s="30"/>
      <c r="P149" s="30"/>
      <c r="Q149" s="30"/>
      <c r="R149" s="26" t="str">
        <f t="shared" si="21"/>
        <v/>
      </c>
      <c r="S149" s="21" t="str">
        <f t="shared" ref="S149:S180" si="22">IF($C149=S$10,IF(AND(ISNUMBER(SEARCH($F$2,$B149)),ISNUMBER(SEARCH($N$2,$B149)),ISNUMBER(SEARCH($N$2,$B149))),1,""),"")</f>
        <v/>
      </c>
      <c r="T149" s="21" t="str">
        <f t="shared" ref="T149:T180" si="23">IF($C149=T$10,IF(AND(ISNUMBER(SEARCH($F$2,$B149)),ISNUMBER(SEARCH($N$2,$B149)),ISNUMBER(SEARCH($I$2,$B149))),1,""),"")</f>
        <v/>
      </c>
      <c r="U149" s="21" t="str">
        <f t="shared" ref="U149:U180" si="24">IF($C149=U$10,IF(AND(ISNUMBER(SEARCH($M$2,$B149)),ISNUMBER(SEARCH($L$2,$B149)),ISNUMBER(SEARCH($J$2,$B149)),ISNUMBER(SEARCH($K$2,$B149))),$H$2,""),"")</f>
        <v/>
      </c>
      <c r="V149" s="21" t="str">
        <f t="shared" ref="V149:V180" si="25">IF($C149=V$10,IF(AND(ISNUMBER(SEARCH($M$2,$B149)),ISNUMBER(SEARCH($J$2,$B149)),ISNUMBER(SEARCH($K$2,$B149)),$L$2="AUTOMATIQUE"),1,""),"")</f>
        <v/>
      </c>
      <c r="W149" s="30"/>
      <c r="X149" s="30"/>
      <c r="Y149" s="30"/>
      <c r="Z149" s="30"/>
      <c r="AA149" s="30"/>
      <c r="AB149" s="30"/>
      <c r="AC149" s="30"/>
    </row>
    <row r="150" spans="1:29" x14ac:dyDescent="0.25">
      <c r="A150" s="16" t="s">
        <v>238</v>
      </c>
      <c r="B150" s="17" t="s">
        <v>418</v>
      </c>
      <c r="C150" s="17" t="s">
        <v>33</v>
      </c>
      <c r="D150" s="17" t="s">
        <v>61</v>
      </c>
      <c r="E150" s="17">
        <v>0</v>
      </c>
      <c r="F150" s="35">
        <v>0</v>
      </c>
      <c r="G150" s="35">
        <v>0</v>
      </c>
      <c r="H150" s="35">
        <v>0</v>
      </c>
      <c r="I150" s="30"/>
      <c r="J150" s="20" t="s">
        <v>64</v>
      </c>
      <c r="K150" s="20" t="s">
        <v>64</v>
      </c>
      <c r="L150" s="30"/>
      <c r="M150" s="30"/>
      <c r="N150" s="30"/>
      <c r="O150" s="30"/>
      <c r="P150" s="30"/>
      <c r="Q150" s="30"/>
      <c r="R150" s="26" t="str">
        <f t="shared" si="21"/>
        <v/>
      </c>
      <c r="S150" s="21" t="str">
        <f t="shared" si="22"/>
        <v/>
      </c>
      <c r="T150" s="21" t="str">
        <f t="shared" si="23"/>
        <v/>
      </c>
      <c r="U150" s="21" t="str">
        <f t="shared" si="24"/>
        <v/>
      </c>
      <c r="V150" s="21" t="str">
        <f t="shared" si="25"/>
        <v/>
      </c>
      <c r="W150" s="30"/>
      <c r="X150" s="30"/>
      <c r="Y150" s="30"/>
      <c r="Z150" s="30"/>
      <c r="AA150" s="30"/>
      <c r="AB150" s="30"/>
      <c r="AC150" s="30"/>
    </row>
    <row r="151" spans="1:29" x14ac:dyDescent="0.25">
      <c r="A151" s="16" t="s">
        <v>239</v>
      </c>
      <c r="B151" s="17" t="s">
        <v>419</v>
      </c>
      <c r="C151" s="17" t="s">
        <v>33</v>
      </c>
      <c r="D151" s="17" t="s">
        <v>61</v>
      </c>
      <c r="E151" s="17">
        <v>0</v>
      </c>
      <c r="F151" s="35">
        <v>0</v>
      </c>
      <c r="G151" s="35">
        <v>0</v>
      </c>
      <c r="H151" s="35">
        <v>0</v>
      </c>
      <c r="I151" s="30"/>
      <c r="J151" s="20" t="s">
        <v>64</v>
      </c>
      <c r="K151" s="20" t="s">
        <v>64</v>
      </c>
      <c r="L151" s="30"/>
      <c r="M151" s="30"/>
      <c r="N151" s="30"/>
      <c r="O151" s="30"/>
      <c r="P151" s="30"/>
      <c r="Q151" s="30"/>
      <c r="R151" s="26" t="str">
        <f t="shared" si="21"/>
        <v/>
      </c>
      <c r="S151" s="21" t="str">
        <f t="shared" si="22"/>
        <v/>
      </c>
      <c r="T151" s="21" t="str">
        <f t="shared" si="23"/>
        <v/>
      </c>
      <c r="U151" s="21" t="str">
        <f t="shared" si="24"/>
        <v/>
      </c>
      <c r="V151" s="21" t="str">
        <f t="shared" si="25"/>
        <v/>
      </c>
      <c r="W151" s="30"/>
      <c r="X151" s="30"/>
      <c r="Y151" s="30"/>
      <c r="Z151" s="30"/>
      <c r="AA151" s="30"/>
      <c r="AB151" s="30"/>
      <c r="AC151" s="30"/>
    </row>
    <row r="152" spans="1:29" x14ac:dyDescent="0.25">
      <c r="A152" s="16" t="s">
        <v>240</v>
      </c>
      <c r="B152" s="17" t="s">
        <v>420</v>
      </c>
      <c r="C152" s="17" t="s">
        <v>33</v>
      </c>
      <c r="D152" s="17" t="s">
        <v>61</v>
      </c>
      <c r="E152" s="17">
        <v>0</v>
      </c>
      <c r="F152" s="35">
        <v>0</v>
      </c>
      <c r="G152" s="35">
        <v>0</v>
      </c>
      <c r="H152" s="35">
        <v>0</v>
      </c>
      <c r="I152" s="30"/>
      <c r="J152" s="20" t="s">
        <v>64</v>
      </c>
      <c r="K152" s="20" t="s">
        <v>64</v>
      </c>
      <c r="L152" s="30"/>
      <c r="M152" s="30"/>
      <c r="N152" s="30"/>
      <c r="O152" s="30"/>
      <c r="P152" s="30"/>
      <c r="Q152" s="30"/>
      <c r="R152" s="26" t="str">
        <f t="shared" si="21"/>
        <v/>
      </c>
      <c r="S152" s="21" t="str">
        <f t="shared" si="22"/>
        <v/>
      </c>
      <c r="T152" s="21" t="str">
        <f t="shared" si="23"/>
        <v/>
      </c>
      <c r="U152" s="21" t="str">
        <f t="shared" si="24"/>
        <v/>
      </c>
      <c r="V152" s="21" t="str">
        <f t="shared" si="25"/>
        <v/>
      </c>
      <c r="W152" s="30"/>
      <c r="X152" s="30"/>
      <c r="Y152" s="30"/>
      <c r="Z152" s="30"/>
      <c r="AA152" s="30"/>
      <c r="AB152" s="30"/>
      <c r="AC152" s="30"/>
    </row>
    <row r="153" spans="1:29" x14ac:dyDescent="0.25">
      <c r="A153" s="16" t="s">
        <v>241</v>
      </c>
      <c r="B153" s="17" t="s">
        <v>421</v>
      </c>
      <c r="C153" s="17" t="s">
        <v>33</v>
      </c>
      <c r="D153" s="17" t="s">
        <v>61</v>
      </c>
      <c r="E153" s="17">
        <v>0</v>
      </c>
      <c r="F153" s="35">
        <v>0</v>
      </c>
      <c r="G153" s="35">
        <v>0</v>
      </c>
      <c r="H153" s="35">
        <v>0</v>
      </c>
      <c r="I153" s="30"/>
      <c r="J153" s="20" t="s">
        <v>64</v>
      </c>
      <c r="K153" s="20" t="s">
        <v>64</v>
      </c>
      <c r="L153" s="30"/>
      <c r="M153" s="30"/>
      <c r="N153" s="30"/>
      <c r="O153" s="30"/>
      <c r="P153" s="30"/>
      <c r="Q153" s="30"/>
      <c r="R153" s="26" t="str">
        <f t="shared" si="21"/>
        <v/>
      </c>
      <c r="S153" s="21" t="str">
        <f t="shared" si="22"/>
        <v/>
      </c>
      <c r="T153" s="21" t="str">
        <f t="shared" si="23"/>
        <v/>
      </c>
      <c r="U153" s="21" t="str">
        <f t="shared" si="24"/>
        <v/>
      </c>
      <c r="V153" s="21" t="str">
        <f t="shared" si="25"/>
        <v/>
      </c>
      <c r="W153" s="30"/>
      <c r="X153" s="30"/>
      <c r="Y153" s="30"/>
      <c r="Z153" s="30"/>
      <c r="AA153" s="30"/>
      <c r="AB153" s="30"/>
      <c r="AC153" s="30"/>
    </row>
    <row r="154" spans="1:29" x14ac:dyDescent="0.25">
      <c r="A154" s="16" t="s">
        <v>242</v>
      </c>
      <c r="B154" s="17" t="s">
        <v>422</v>
      </c>
      <c r="C154" s="17" t="s">
        <v>33</v>
      </c>
      <c r="D154" s="17" t="s">
        <v>61</v>
      </c>
      <c r="E154" s="17">
        <v>0</v>
      </c>
      <c r="F154" s="18">
        <v>0</v>
      </c>
      <c r="G154" s="18">
        <v>0</v>
      </c>
      <c r="H154" s="18">
        <v>0</v>
      </c>
      <c r="I154" s="30"/>
      <c r="J154" s="20" t="s">
        <v>64</v>
      </c>
      <c r="K154" s="20" t="s">
        <v>64</v>
      </c>
      <c r="L154" s="30"/>
      <c r="M154" s="30"/>
      <c r="N154" s="30"/>
      <c r="O154" s="30"/>
      <c r="P154" s="30"/>
      <c r="Q154" s="30"/>
      <c r="R154" s="26" t="str">
        <f t="shared" si="21"/>
        <v/>
      </c>
      <c r="S154" s="21" t="str">
        <f t="shared" si="22"/>
        <v/>
      </c>
      <c r="T154" s="21" t="str">
        <f t="shared" si="23"/>
        <v/>
      </c>
      <c r="U154" s="21" t="str">
        <f t="shared" si="24"/>
        <v/>
      </c>
      <c r="V154" s="21" t="str">
        <f t="shared" si="25"/>
        <v/>
      </c>
      <c r="W154" s="30"/>
      <c r="X154" s="30"/>
      <c r="Y154" s="30"/>
      <c r="Z154" s="30"/>
      <c r="AA154" s="30"/>
      <c r="AB154" s="30"/>
      <c r="AC154" s="30"/>
    </row>
    <row r="155" spans="1:29" x14ac:dyDescent="0.25">
      <c r="A155" s="16" t="s">
        <v>243</v>
      </c>
      <c r="B155" s="17" t="s">
        <v>423</v>
      </c>
      <c r="C155" s="17" t="s">
        <v>33</v>
      </c>
      <c r="D155" s="17" t="s">
        <v>61</v>
      </c>
      <c r="E155" s="17">
        <v>0</v>
      </c>
      <c r="F155" s="18">
        <v>0</v>
      </c>
      <c r="G155" s="18">
        <f>30240+510</f>
        <v>30750</v>
      </c>
      <c r="H155" s="18">
        <v>0</v>
      </c>
      <c r="I155" s="30"/>
      <c r="J155" s="20" t="s">
        <v>64</v>
      </c>
      <c r="K155" s="20" t="s">
        <v>64</v>
      </c>
      <c r="L155" s="30"/>
      <c r="M155" s="30"/>
      <c r="N155" s="30"/>
      <c r="O155" s="30"/>
      <c r="P155" s="30"/>
      <c r="Q155" s="30"/>
      <c r="R155" s="26" t="str">
        <f t="shared" si="21"/>
        <v/>
      </c>
      <c r="S155" s="21" t="str">
        <f t="shared" si="22"/>
        <v/>
      </c>
      <c r="T155" s="21" t="str">
        <f t="shared" si="23"/>
        <v/>
      </c>
      <c r="U155" s="21" t="str">
        <f t="shared" si="24"/>
        <v/>
      </c>
      <c r="V155" s="21" t="str">
        <f t="shared" si="25"/>
        <v/>
      </c>
      <c r="W155" s="30"/>
      <c r="X155" s="30"/>
      <c r="Y155" s="30"/>
      <c r="Z155" s="30"/>
      <c r="AA155" s="30"/>
      <c r="AB155" s="30"/>
      <c r="AC155" s="30"/>
    </row>
    <row r="156" spans="1:29" x14ac:dyDescent="0.25">
      <c r="A156" s="16" t="s">
        <v>244</v>
      </c>
      <c r="B156" s="17" t="s">
        <v>424</v>
      </c>
      <c r="C156" s="17" t="s">
        <v>33</v>
      </c>
      <c r="D156" s="17" t="s">
        <v>61</v>
      </c>
      <c r="E156" s="17">
        <v>0</v>
      </c>
      <c r="F156" s="18">
        <v>0</v>
      </c>
      <c r="G156" s="18">
        <v>0</v>
      </c>
      <c r="H156" s="18">
        <v>0</v>
      </c>
      <c r="I156" s="30"/>
      <c r="J156" s="20" t="s">
        <v>64</v>
      </c>
      <c r="K156" s="20" t="s">
        <v>64</v>
      </c>
      <c r="L156" s="30"/>
      <c r="M156" s="30"/>
      <c r="N156" s="30"/>
      <c r="O156" s="30"/>
      <c r="P156" s="30"/>
      <c r="Q156" s="30"/>
      <c r="R156" s="26" t="str">
        <f t="shared" si="21"/>
        <v/>
      </c>
      <c r="S156" s="21" t="str">
        <f t="shared" si="22"/>
        <v/>
      </c>
      <c r="T156" s="21" t="str">
        <f t="shared" si="23"/>
        <v/>
      </c>
      <c r="U156" s="21" t="str">
        <f t="shared" si="24"/>
        <v/>
      </c>
      <c r="V156" s="21" t="str">
        <f t="shared" si="25"/>
        <v/>
      </c>
      <c r="W156" s="30"/>
      <c r="X156" s="30"/>
      <c r="Y156" s="30"/>
      <c r="Z156" s="30"/>
      <c r="AA156" s="30"/>
      <c r="AB156" s="30"/>
      <c r="AC156" s="30"/>
    </row>
    <row r="157" spans="1:29" x14ac:dyDescent="0.25">
      <c r="A157" s="16" t="s">
        <v>245</v>
      </c>
      <c r="B157" s="17" t="s">
        <v>425</v>
      </c>
      <c r="C157" s="17" t="s">
        <v>33</v>
      </c>
      <c r="D157" s="17" t="s">
        <v>61</v>
      </c>
      <c r="E157" s="17">
        <v>0</v>
      </c>
      <c r="F157" s="35">
        <v>0</v>
      </c>
      <c r="G157" s="35">
        <v>0</v>
      </c>
      <c r="H157" s="35">
        <v>0</v>
      </c>
      <c r="I157" s="30"/>
      <c r="J157" s="20" t="s">
        <v>64</v>
      </c>
      <c r="K157" s="20" t="s">
        <v>64</v>
      </c>
      <c r="L157" s="30"/>
      <c r="M157" s="30"/>
      <c r="N157" s="30"/>
      <c r="O157" s="30"/>
      <c r="P157" s="30"/>
      <c r="Q157" s="30"/>
      <c r="R157" s="26" t="str">
        <f t="shared" si="21"/>
        <v/>
      </c>
      <c r="S157" s="21" t="str">
        <f t="shared" si="22"/>
        <v/>
      </c>
      <c r="T157" s="21" t="str">
        <f t="shared" si="23"/>
        <v/>
      </c>
      <c r="U157" s="21" t="str">
        <f t="shared" si="24"/>
        <v/>
      </c>
      <c r="V157" s="21" t="str">
        <f t="shared" si="25"/>
        <v/>
      </c>
      <c r="W157" s="30"/>
      <c r="X157" s="30"/>
      <c r="Y157" s="30"/>
      <c r="Z157" s="30"/>
      <c r="AA157" s="30"/>
      <c r="AB157" s="30"/>
      <c r="AC157" s="30"/>
    </row>
    <row r="158" spans="1:29" x14ac:dyDescent="0.25">
      <c r="A158" s="16" t="s">
        <v>246</v>
      </c>
      <c r="B158" s="17" t="s">
        <v>426</v>
      </c>
      <c r="C158" s="17" t="s">
        <v>33</v>
      </c>
      <c r="D158" s="17" t="s">
        <v>61</v>
      </c>
      <c r="E158" s="17">
        <v>0</v>
      </c>
      <c r="F158" s="35">
        <v>0</v>
      </c>
      <c r="G158" s="35">
        <v>0</v>
      </c>
      <c r="H158" s="35">
        <v>0</v>
      </c>
      <c r="I158" s="30"/>
      <c r="J158" s="20" t="s">
        <v>64</v>
      </c>
      <c r="K158" s="20" t="s">
        <v>64</v>
      </c>
      <c r="L158" s="30"/>
      <c r="M158" s="30"/>
      <c r="N158" s="30"/>
      <c r="O158" s="30"/>
      <c r="P158" s="30"/>
      <c r="Q158" s="30"/>
      <c r="R158" s="26" t="str">
        <f t="shared" si="21"/>
        <v/>
      </c>
      <c r="S158" s="21" t="str">
        <f t="shared" si="22"/>
        <v/>
      </c>
      <c r="T158" s="21" t="str">
        <f t="shared" si="23"/>
        <v/>
      </c>
      <c r="U158" s="21" t="str">
        <f t="shared" si="24"/>
        <v/>
      </c>
      <c r="V158" s="21" t="str">
        <f t="shared" si="25"/>
        <v/>
      </c>
      <c r="W158" s="30"/>
      <c r="X158" s="30"/>
      <c r="Y158" s="30"/>
      <c r="Z158" s="30"/>
      <c r="AA158" s="30"/>
      <c r="AB158" s="30"/>
      <c r="AC158" s="30"/>
    </row>
    <row r="159" spans="1:29" x14ac:dyDescent="0.25">
      <c r="A159" s="16" t="s">
        <v>247</v>
      </c>
      <c r="B159" s="17" t="s">
        <v>427</v>
      </c>
      <c r="C159" s="17" t="s">
        <v>33</v>
      </c>
      <c r="D159" s="17" t="s">
        <v>61</v>
      </c>
      <c r="E159" s="17">
        <v>0</v>
      </c>
      <c r="F159" s="35">
        <v>0</v>
      </c>
      <c r="G159" s="35">
        <v>0</v>
      </c>
      <c r="H159" s="35">
        <v>0</v>
      </c>
      <c r="I159" s="30"/>
      <c r="J159" s="20" t="s">
        <v>64</v>
      </c>
      <c r="K159" s="20" t="s">
        <v>64</v>
      </c>
      <c r="L159" s="30"/>
      <c r="M159" s="30"/>
      <c r="N159" s="30"/>
      <c r="O159" s="30"/>
      <c r="P159" s="30"/>
      <c r="Q159" s="30"/>
      <c r="R159" s="26" t="str">
        <f t="shared" si="21"/>
        <v/>
      </c>
      <c r="S159" s="21" t="str">
        <f t="shared" si="22"/>
        <v/>
      </c>
      <c r="T159" s="21" t="str">
        <f t="shared" si="23"/>
        <v/>
      </c>
      <c r="U159" s="21" t="str">
        <f t="shared" si="24"/>
        <v/>
      </c>
      <c r="V159" s="21" t="str">
        <f t="shared" si="25"/>
        <v/>
      </c>
      <c r="W159" s="30"/>
      <c r="X159" s="30"/>
      <c r="Y159" s="30"/>
      <c r="Z159" s="30"/>
      <c r="AA159" s="30"/>
      <c r="AB159" s="30"/>
      <c r="AC159" s="30"/>
    </row>
    <row r="160" spans="1:29" x14ac:dyDescent="0.25">
      <c r="A160" s="16" t="s">
        <v>248</v>
      </c>
      <c r="B160" s="17" t="s">
        <v>428</v>
      </c>
      <c r="C160" s="17" t="s">
        <v>33</v>
      </c>
      <c r="D160" s="17" t="s">
        <v>61</v>
      </c>
      <c r="E160" s="17">
        <v>0</v>
      </c>
      <c r="F160" s="35">
        <v>0</v>
      </c>
      <c r="G160" s="35">
        <v>0</v>
      </c>
      <c r="H160" s="35">
        <v>0</v>
      </c>
      <c r="I160" s="30"/>
      <c r="J160" s="20" t="s">
        <v>64</v>
      </c>
      <c r="K160" s="20" t="s">
        <v>64</v>
      </c>
      <c r="L160" s="30"/>
      <c r="M160" s="30"/>
      <c r="N160" s="30"/>
      <c r="O160" s="30"/>
      <c r="P160" s="30"/>
      <c r="Q160" s="30"/>
      <c r="R160" s="26" t="str">
        <f t="shared" si="21"/>
        <v/>
      </c>
      <c r="S160" s="21" t="str">
        <f t="shared" si="22"/>
        <v/>
      </c>
      <c r="T160" s="21" t="str">
        <f t="shared" si="23"/>
        <v/>
      </c>
      <c r="U160" s="21" t="str">
        <f t="shared" si="24"/>
        <v/>
      </c>
      <c r="V160" s="21" t="str">
        <f t="shared" si="25"/>
        <v/>
      </c>
      <c r="W160" s="30"/>
      <c r="X160" s="30"/>
      <c r="Y160" s="30"/>
      <c r="Z160" s="30"/>
      <c r="AA160" s="30"/>
      <c r="AB160" s="30"/>
      <c r="AC160" s="30"/>
    </row>
    <row r="161" spans="1:29" x14ac:dyDescent="0.25">
      <c r="A161" s="16" t="s">
        <v>249</v>
      </c>
      <c r="B161" s="17" t="s">
        <v>429</v>
      </c>
      <c r="C161" s="17" t="s">
        <v>33</v>
      </c>
      <c r="D161" s="17" t="s">
        <v>61</v>
      </c>
      <c r="E161" s="17">
        <v>0</v>
      </c>
      <c r="F161" s="101">
        <v>22200</v>
      </c>
      <c r="G161" s="101">
        <f>+F161+250</f>
        <v>22450</v>
      </c>
      <c r="H161" s="101">
        <f>+G161+1200</f>
        <v>23650</v>
      </c>
      <c r="I161" s="30"/>
      <c r="J161" s="20" t="s">
        <v>64</v>
      </c>
      <c r="K161" s="20" t="s">
        <v>64</v>
      </c>
      <c r="L161" s="30"/>
      <c r="M161" s="30"/>
      <c r="N161" s="30"/>
      <c r="O161" s="30"/>
      <c r="P161" s="30"/>
      <c r="Q161" s="30"/>
      <c r="R161" s="26" t="str">
        <f t="shared" si="21"/>
        <v/>
      </c>
      <c r="S161" s="21" t="str">
        <f t="shared" si="22"/>
        <v/>
      </c>
      <c r="T161" s="21" t="str">
        <f t="shared" si="23"/>
        <v/>
      </c>
      <c r="U161" s="21" t="str">
        <f t="shared" si="24"/>
        <v/>
      </c>
      <c r="V161" s="21" t="str">
        <f t="shared" si="25"/>
        <v/>
      </c>
      <c r="W161" s="30"/>
      <c r="X161" s="30"/>
      <c r="Y161" s="30"/>
      <c r="Z161" s="30"/>
      <c r="AA161" s="30"/>
      <c r="AB161" s="30"/>
      <c r="AC161" s="30"/>
    </row>
    <row r="162" spans="1:29" x14ac:dyDescent="0.25">
      <c r="A162" s="16" t="s">
        <v>250</v>
      </c>
      <c r="B162" s="17" t="s">
        <v>430</v>
      </c>
      <c r="C162" s="17" t="s">
        <v>33</v>
      </c>
      <c r="D162" s="17" t="s">
        <v>61</v>
      </c>
      <c r="E162" s="17">
        <v>0</v>
      </c>
      <c r="F162" s="101">
        <v>22200</v>
      </c>
      <c r="G162" s="101">
        <f t="shared" ref="G162:G163" si="26">+F162+250</f>
        <v>22450</v>
      </c>
      <c r="H162" s="101">
        <f t="shared" ref="H162:H163" si="27">+G162+1200</f>
        <v>23650</v>
      </c>
      <c r="I162" s="30"/>
      <c r="J162" s="20" t="s">
        <v>64</v>
      </c>
      <c r="K162" s="20" t="s">
        <v>64</v>
      </c>
      <c r="L162" s="30"/>
      <c r="M162" s="30"/>
      <c r="N162" s="30"/>
      <c r="O162" s="30"/>
      <c r="P162" s="30"/>
      <c r="Q162" s="30"/>
      <c r="R162" s="26" t="str">
        <f t="shared" ref="R162:R193" si="28">IF(SUM(S162:AC162)&lt;&gt;0,SUM(S162:AC162),"")</f>
        <v/>
      </c>
      <c r="S162" s="21" t="str">
        <f t="shared" si="22"/>
        <v/>
      </c>
      <c r="T162" s="21" t="str">
        <f t="shared" si="23"/>
        <v/>
      </c>
      <c r="U162" s="21" t="str">
        <f t="shared" si="24"/>
        <v/>
      </c>
      <c r="V162" s="21" t="str">
        <f t="shared" si="25"/>
        <v/>
      </c>
      <c r="W162" s="30"/>
      <c r="X162" s="30"/>
      <c r="Y162" s="30"/>
      <c r="Z162" s="30"/>
      <c r="AA162" s="30"/>
      <c r="AB162" s="30"/>
      <c r="AC162" s="30"/>
    </row>
    <row r="163" spans="1:29" x14ac:dyDescent="0.25">
      <c r="A163" s="16" t="s">
        <v>251</v>
      </c>
      <c r="B163" s="17" t="s">
        <v>252</v>
      </c>
      <c r="C163" s="17" t="s">
        <v>33</v>
      </c>
      <c r="D163" s="17" t="s">
        <v>61</v>
      </c>
      <c r="E163" s="17">
        <v>0</v>
      </c>
      <c r="F163" s="101">
        <v>24790</v>
      </c>
      <c r="G163" s="101">
        <f t="shared" si="26"/>
        <v>25040</v>
      </c>
      <c r="H163" s="101">
        <f t="shared" si="27"/>
        <v>26240</v>
      </c>
      <c r="I163" s="30"/>
      <c r="J163" s="20" t="s">
        <v>64</v>
      </c>
      <c r="K163" s="20" t="s">
        <v>64</v>
      </c>
      <c r="L163" s="30"/>
      <c r="M163" s="30"/>
      <c r="N163" s="30"/>
      <c r="O163" s="30"/>
      <c r="P163" s="30"/>
      <c r="Q163" s="30"/>
      <c r="R163" s="26" t="str">
        <f t="shared" si="28"/>
        <v/>
      </c>
      <c r="S163" s="21" t="str">
        <f t="shared" si="22"/>
        <v/>
      </c>
      <c r="T163" s="21" t="str">
        <f t="shared" si="23"/>
        <v/>
      </c>
      <c r="U163" s="21" t="str">
        <f t="shared" si="24"/>
        <v/>
      </c>
      <c r="V163" s="21" t="str">
        <f t="shared" si="25"/>
        <v/>
      </c>
      <c r="W163" s="30"/>
      <c r="X163" s="30"/>
      <c r="Y163" s="30"/>
      <c r="Z163" s="30"/>
      <c r="AA163" s="30"/>
      <c r="AB163" s="30"/>
      <c r="AC163" s="30"/>
    </row>
    <row r="164" spans="1:29" x14ac:dyDescent="0.25">
      <c r="A164" s="16" t="s">
        <v>253</v>
      </c>
      <c r="B164" s="17" t="s">
        <v>431</v>
      </c>
      <c r="C164" s="17" t="s">
        <v>33</v>
      </c>
      <c r="D164" s="17" t="s">
        <v>61</v>
      </c>
      <c r="E164" s="17">
        <v>0</v>
      </c>
      <c r="F164" s="18">
        <v>0</v>
      </c>
      <c r="G164" s="18">
        <v>0</v>
      </c>
      <c r="H164" s="18">
        <v>0</v>
      </c>
      <c r="I164" s="30"/>
      <c r="J164" s="20" t="s">
        <v>64</v>
      </c>
      <c r="K164" s="20" t="s">
        <v>64</v>
      </c>
      <c r="L164" s="30"/>
      <c r="M164" s="30"/>
      <c r="N164" s="30"/>
      <c r="O164" s="30"/>
      <c r="P164" s="30"/>
      <c r="Q164" s="30"/>
      <c r="R164" s="26" t="str">
        <f t="shared" si="28"/>
        <v/>
      </c>
      <c r="S164" s="21" t="str">
        <f t="shared" si="22"/>
        <v/>
      </c>
      <c r="T164" s="21" t="str">
        <f t="shared" si="23"/>
        <v/>
      </c>
      <c r="U164" s="21" t="str">
        <f t="shared" si="24"/>
        <v/>
      </c>
      <c r="V164" s="21" t="str">
        <f t="shared" si="25"/>
        <v/>
      </c>
      <c r="W164" s="30"/>
      <c r="X164" s="30"/>
      <c r="Y164" s="30"/>
      <c r="Z164" s="30"/>
      <c r="AA164" s="30"/>
      <c r="AB164" s="30"/>
      <c r="AC164" s="30"/>
    </row>
    <row r="165" spans="1:29" x14ac:dyDescent="0.25">
      <c r="A165" s="89" t="s">
        <v>254</v>
      </c>
      <c r="B165" s="90" t="s">
        <v>432</v>
      </c>
      <c r="C165" s="90" t="s">
        <v>33</v>
      </c>
      <c r="D165" s="90" t="s">
        <v>61</v>
      </c>
      <c r="E165" s="90">
        <v>0</v>
      </c>
      <c r="F165" s="91">
        <v>0</v>
      </c>
      <c r="G165" s="91">
        <f>26760+500</f>
        <v>27260</v>
      </c>
      <c r="H165" s="91">
        <v>0</v>
      </c>
      <c r="J165" s="20" t="s">
        <v>64</v>
      </c>
      <c r="K165" s="20" t="s">
        <v>64</v>
      </c>
      <c r="R165" s="26" t="str">
        <f t="shared" si="28"/>
        <v/>
      </c>
      <c r="S165" s="21" t="str">
        <f t="shared" si="22"/>
        <v/>
      </c>
      <c r="T165" s="21" t="str">
        <f t="shared" si="23"/>
        <v/>
      </c>
      <c r="U165" s="21" t="str">
        <f t="shared" si="24"/>
        <v/>
      </c>
      <c r="V165" s="21" t="str">
        <f t="shared" si="25"/>
        <v/>
      </c>
      <c r="W165" s="30"/>
      <c r="X165" s="30"/>
      <c r="Y165" s="30"/>
      <c r="Z165" s="30"/>
      <c r="AA165" s="30"/>
      <c r="AB165" s="30"/>
      <c r="AC165" s="30"/>
    </row>
    <row r="166" spans="1:29" x14ac:dyDescent="0.25">
      <c r="A166" s="89" t="s">
        <v>255</v>
      </c>
      <c r="B166" s="90" t="s">
        <v>433</v>
      </c>
      <c r="C166" s="90" t="s">
        <v>33</v>
      </c>
      <c r="D166" s="90" t="s">
        <v>61</v>
      </c>
      <c r="E166" s="90">
        <v>0</v>
      </c>
      <c r="F166" s="91">
        <v>0</v>
      </c>
      <c r="G166" s="91">
        <f>26760+500</f>
        <v>27260</v>
      </c>
      <c r="H166" s="91">
        <v>0</v>
      </c>
      <c r="I166" s="30"/>
      <c r="J166" s="20" t="s">
        <v>64</v>
      </c>
      <c r="K166" s="20" t="s">
        <v>64</v>
      </c>
      <c r="L166" s="30"/>
      <c r="M166" s="30"/>
      <c r="N166" s="30"/>
      <c r="O166" s="30"/>
      <c r="P166" s="30"/>
      <c r="Q166" s="30"/>
      <c r="R166" s="26" t="str">
        <f t="shared" si="28"/>
        <v/>
      </c>
      <c r="S166" s="21" t="str">
        <f t="shared" si="22"/>
        <v/>
      </c>
      <c r="T166" s="21" t="str">
        <f t="shared" si="23"/>
        <v/>
      </c>
      <c r="U166" s="21" t="str">
        <f t="shared" si="24"/>
        <v/>
      </c>
      <c r="V166" s="21" t="str">
        <f t="shared" si="25"/>
        <v/>
      </c>
      <c r="W166" s="30"/>
      <c r="X166" s="30"/>
      <c r="Y166" s="30"/>
      <c r="Z166" s="30"/>
      <c r="AA166" s="30"/>
      <c r="AB166" s="30"/>
      <c r="AC166" s="30"/>
    </row>
    <row r="167" spans="1:29" x14ac:dyDescent="0.25">
      <c r="A167" s="89" t="s">
        <v>256</v>
      </c>
      <c r="B167" s="90" t="s">
        <v>434</v>
      </c>
      <c r="C167" s="90" t="s">
        <v>33</v>
      </c>
      <c r="D167" s="90" t="s">
        <v>61</v>
      </c>
      <c r="E167" s="90">
        <v>0</v>
      </c>
      <c r="F167" s="91">
        <v>0</v>
      </c>
      <c r="G167" s="91">
        <v>0</v>
      </c>
      <c r="H167" s="91">
        <v>0</v>
      </c>
      <c r="I167" s="30"/>
      <c r="J167" s="20" t="s">
        <v>64</v>
      </c>
      <c r="K167" s="20" t="s">
        <v>64</v>
      </c>
      <c r="L167" s="30"/>
      <c r="M167" s="30"/>
      <c r="N167" s="30"/>
      <c r="O167" s="30"/>
      <c r="P167" s="30"/>
      <c r="Q167" s="30"/>
      <c r="R167" s="26" t="str">
        <f t="shared" si="28"/>
        <v/>
      </c>
      <c r="S167" s="21" t="str">
        <f t="shared" si="22"/>
        <v/>
      </c>
      <c r="T167" s="21" t="str">
        <f t="shared" si="23"/>
        <v/>
      </c>
      <c r="U167" s="21" t="str">
        <f t="shared" si="24"/>
        <v/>
      </c>
      <c r="V167" s="21" t="str">
        <f t="shared" si="25"/>
        <v/>
      </c>
      <c r="W167" s="30"/>
      <c r="X167" s="30"/>
      <c r="Y167" s="30"/>
      <c r="Z167" s="30"/>
      <c r="AA167" s="30"/>
      <c r="AB167" s="30"/>
      <c r="AC167" s="30"/>
    </row>
    <row r="168" spans="1:29" x14ac:dyDescent="0.25">
      <c r="A168" s="89" t="s">
        <v>257</v>
      </c>
      <c r="B168" s="90" t="s">
        <v>435</v>
      </c>
      <c r="C168" s="90" t="s">
        <v>33</v>
      </c>
      <c r="D168" s="90" t="s">
        <v>61</v>
      </c>
      <c r="E168" s="90">
        <v>0</v>
      </c>
      <c r="F168" s="91">
        <v>0</v>
      </c>
      <c r="G168" s="91">
        <v>0</v>
      </c>
      <c r="H168" s="91">
        <v>0</v>
      </c>
      <c r="I168" s="30"/>
      <c r="J168" s="20" t="s">
        <v>64</v>
      </c>
      <c r="K168" s="20" t="s">
        <v>64</v>
      </c>
      <c r="L168" s="30"/>
      <c r="M168" s="30"/>
      <c r="N168" s="30"/>
      <c r="O168" s="30"/>
      <c r="P168" s="30"/>
      <c r="Q168" s="30"/>
      <c r="R168" s="26" t="str">
        <f t="shared" si="28"/>
        <v/>
      </c>
      <c r="S168" s="21" t="str">
        <f t="shared" si="22"/>
        <v/>
      </c>
      <c r="T168" s="21" t="str">
        <f t="shared" si="23"/>
        <v/>
      </c>
      <c r="U168" s="21" t="str">
        <f t="shared" si="24"/>
        <v/>
      </c>
      <c r="V168" s="21" t="str">
        <f t="shared" si="25"/>
        <v/>
      </c>
      <c r="W168" s="30"/>
      <c r="X168" s="30"/>
      <c r="Y168" s="30"/>
      <c r="Z168" s="30"/>
      <c r="AA168" s="30"/>
      <c r="AB168" s="30"/>
      <c r="AC168" s="30"/>
    </row>
    <row r="169" spans="1:29" x14ac:dyDescent="0.25">
      <c r="A169" s="89" t="s">
        <v>258</v>
      </c>
      <c r="B169" s="17" t="s">
        <v>259</v>
      </c>
      <c r="C169" s="17" t="s">
        <v>42</v>
      </c>
      <c r="D169" s="90" t="s">
        <v>61</v>
      </c>
      <c r="E169" s="17">
        <v>1</v>
      </c>
      <c r="F169" s="18">
        <v>33.515999999999998</v>
      </c>
      <c r="G169" s="18">
        <v>33.515999999999998</v>
      </c>
      <c r="H169" s="18">
        <v>33.515999999999998</v>
      </c>
      <c r="I169" s="30"/>
      <c r="J169" s="30"/>
      <c r="K169" s="20"/>
      <c r="L169" s="30"/>
      <c r="M169" s="30"/>
      <c r="N169" s="30"/>
      <c r="O169" s="30"/>
      <c r="P169" s="30"/>
      <c r="Q169" s="30"/>
      <c r="R169" s="26" t="str">
        <f t="shared" si="28"/>
        <v/>
      </c>
      <c r="S169" s="21" t="str">
        <f t="shared" si="22"/>
        <v/>
      </c>
      <c r="T169" s="21" t="str">
        <f t="shared" si="23"/>
        <v/>
      </c>
      <c r="U169" s="21" t="str">
        <f t="shared" si="24"/>
        <v/>
      </c>
      <c r="V169" s="21" t="str">
        <f t="shared" si="25"/>
        <v/>
      </c>
      <c r="W169" s="30"/>
      <c r="X169" s="30"/>
      <c r="Y169" s="30"/>
      <c r="Z169" s="30"/>
      <c r="AA169" s="30"/>
      <c r="AB169" s="30"/>
      <c r="AC169" s="30"/>
    </row>
    <row r="170" spans="1:29" x14ac:dyDescent="0.25">
      <c r="A170" s="89" t="s">
        <v>260</v>
      </c>
      <c r="B170" s="17" t="s">
        <v>261</v>
      </c>
      <c r="C170" s="17" t="s">
        <v>42</v>
      </c>
      <c r="D170" s="90" t="s">
        <v>61</v>
      </c>
      <c r="E170" s="17">
        <v>1</v>
      </c>
      <c r="F170" s="18">
        <v>33.515999999999998</v>
      </c>
      <c r="G170" s="18">
        <v>33.515999999999998</v>
      </c>
      <c r="H170" s="18">
        <v>33.515999999999998</v>
      </c>
      <c r="I170" s="30"/>
      <c r="J170" s="30"/>
      <c r="K170" s="20"/>
      <c r="L170" s="30"/>
      <c r="M170" s="30"/>
      <c r="N170" s="30"/>
      <c r="O170" s="30"/>
      <c r="P170" s="30"/>
      <c r="Q170" s="30"/>
      <c r="R170" s="26" t="str">
        <f t="shared" si="28"/>
        <v/>
      </c>
      <c r="S170" s="21" t="str">
        <f t="shared" si="22"/>
        <v/>
      </c>
      <c r="T170" s="21" t="str">
        <f t="shared" si="23"/>
        <v/>
      </c>
      <c r="U170" s="21" t="str">
        <f t="shared" si="24"/>
        <v/>
      </c>
      <c r="V170" s="21" t="str">
        <f t="shared" si="25"/>
        <v/>
      </c>
      <c r="W170" s="30"/>
      <c r="X170" s="30"/>
      <c r="Y170" s="30"/>
      <c r="Z170" s="30"/>
      <c r="AA170" s="30"/>
      <c r="AB170" s="30"/>
      <c r="AC170" s="30"/>
    </row>
    <row r="171" spans="1:29" x14ac:dyDescent="0.25">
      <c r="A171" s="89" t="s">
        <v>262</v>
      </c>
      <c r="B171" s="17" t="s">
        <v>263</v>
      </c>
      <c r="C171" s="17" t="s">
        <v>42</v>
      </c>
      <c r="D171" s="90" t="s">
        <v>45</v>
      </c>
      <c r="E171" s="17">
        <v>1</v>
      </c>
      <c r="F171" s="18">
        <v>35</v>
      </c>
      <c r="G171" s="18">
        <v>40</v>
      </c>
      <c r="H171" s="18">
        <v>55</v>
      </c>
      <c r="I171" s="30">
        <v>1</v>
      </c>
      <c r="J171" s="30"/>
      <c r="K171" s="20"/>
      <c r="L171" s="30"/>
      <c r="M171" s="30"/>
      <c r="N171" s="30"/>
      <c r="O171" s="30"/>
      <c r="P171" s="30"/>
      <c r="Q171" s="30"/>
      <c r="R171" s="26">
        <f t="shared" si="28"/>
        <v>1</v>
      </c>
      <c r="S171" s="21" t="str">
        <f t="shared" si="22"/>
        <v/>
      </c>
      <c r="T171" s="21" t="str">
        <f t="shared" si="23"/>
        <v/>
      </c>
      <c r="U171" s="21" t="str">
        <f t="shared" si="24"/>
        <v/>
      </c>
      <c r="V171" s="21" t="str">
        <f>IF($C171=V$10,IF(AND(ISNUMBER(SEARCH($M$2,$B171)),ISNUMBER(SEARCH($J$2,$B171)),ISNUMBER(SEARCH($K$2,$B171)),$L$2="AUTOMATIQUE"),1,""),"")</f>
        <v/>
      </c>
      <c r="W171" s="30"/>
      <c r="X171" s="30"/>
      <c r="Y171" s="30"/>
      <c r="Z171" s="30"/>
      <c r="AA171" s="30"/>
      <c r="AB171" s="30"/>
      <c r="AC171" s="29">
        <v>1</v>
      </c>
    </row>
    <row r="172" spans="1:29" x14ac:dyDescent="0.25">
      <c r="A172" s="89" t="s">
        <v>264</v>
      </c>
      <c r="B172" s="17" t="s">
        <v>391</v>
      </c>
      <c r="C172" s="17" t="s">
        <v>34</v>
      </c>
      <c r="D172" s="90" t="s">
        <v>61</v>
      </c>
      <c r="E172" s="17">
        <v>135</v>
      </c>
      <c r="F172" s="18">
        <v>6099.2438153399999</v>
      </c>
      <c r="G172" s="18">
        <v>6288.3938153399995</v>
      </c>
      <c r="H172" s="18">
        <v>6994.4036806799995</v>
      </c>
      <c r="I172" s="30"/>
      <c r="J172" s="30"/>
      <c r="K172" s="20"/>
      <c r="L172" s="30"/>
      <c r="M172" s="30"/>
      <c r="N172" s="30"/>
      <c r="O172" s="30"/>
      <c r="P172" s="30"/>
      <c r="Q172" s="30"/>
      <c r="R172" s="26" t="str">
        <f t="shared" si="28"/>
        <v/>
      </c>
      <c r="S172" s="21" t="str">
        <f t="shared" si="22"/>
        <v/>
      </c>
      <c r="T172" s="21" t="str">
        <f t="shared" si="23"/>
        <v/>
      </c>
      <c r="U172" s="21" t="str">
        <f t="shared" si="24"/>
        <v/>
      </c>
      <c r="V172" s="21" t="str">
        <f t="shared" si="25"/>
        <v/>
      </c>
    </row>
    <row r="173" spans="1:29" x14ac:dyDescent="0.25">
      <c r="A173" s="89" t="s">
        <v>266</v>
      </c>
      <c r="B173" s="17" t="s">
        <v>392</v>
      </c>
      <c r="C173" s="17" t="s">
        <v>34</v>
      </c>
      <c r="D173" s="17" t="s">
        <v>61</v>
      </c>
      <c r="E173" s="17">
        <v>135</v>
      </c>
      <c r="F173" s="18">
        <v>4769.7750883350009</v>
      </c>
      <c r="G173" s="18">
        <v>4917.7000883350011</v>
      </c>
      <c r="H173" s="18">
        <v>5469.6896516699999</v>
      </c>
      <c r="I173" s="30"/>
      <c r="J173" s="30"/>
      <c r="K173" s="20"/>
      <c r="L173" s="30"/>
      <c r="M173" s="30"/>
      <c r="N173" s="30"/>
      <c r="O173" s="30"/>
      <c r="P173" s="30"/>
      <c r="Q173" s="30"/>
      <c r="R173" s="26" t="str">
        <f t="shared" si="28"/>
        <v/>
      </c>
      <c r="S173" s="21" t="str">
        <f t="shared" si="22"/>
        <v/>
      </c>
      <c r="T173" s="21" t="str">
        <f t="shared" si="23"/>
        <v/>
      </c>
      <c r="U173" s="21" t="str">
        <f t="shared" si="24"/>
        <v/>
      </c>
      <c r="V173" s="21" t="str">
        <f t="shared" si="25"/>
        <v/>
      </c>
      <c r="W173" s="30"/>
      <c r="X173" s="30"/>
      <c r="Y173" s="30"/>
      <c r="Z173" s="30"/>
      <c r="AA173" s="30"/>
      <c r="AB173" s="30"/>
      <c r="AC173" s="30"/>
    </row>
    <row r="174" spans="1:29" x14ac:dyDescent="0.25">
      <c r="A174" s="89" t="s">
        <v>268</v>
      </c>
      <c r="B174" s="17" t="s">
        <v>393</v>
      </c>
      <c r="C174" s="17" t="s">
        <v>35</v>
      </c>
      <c r="D174" s="17" t="s">
        <v>61</v>
      </c>
      <c r="E174" s="17">
        <v>110</v>
      </c>
      <c r="F174" s="18">
        <v>11730.839287500001</v>
      </c>
      <c r="G174" s="18">
        <v>12094.589287500001</v>
      </c>
      <c r="H174" s="18">
        <v>13453.824825</v>
      </c>
      <c r="I174" s="30"/>
      <c r="J174" s="30"/>
      <c r="K174" s="30"/>
      <c r="L174" s="30"/>
      <c r="M174" s="30"/>
      <c r="N174" s="30"/>
      <c r="O174" s="30"/>
      <c r="P174" s="30"/>
      <c r="Q174" s="30"/>
      <c r="R174" s="26" t="str">
        <f t="shared" si="28"/>
        <v/>
      </c>
      <c r="S174" s="21" t="str">
        <f t="shared" si="22"/>
        <v/>
      </c>
      <c r="T174" s="21" t="str">
        <f t="shared" si="23"/>
        <v/>
      </c>
      <c r="U174" s="21" t="str">
        <f t="shared" si="24"/>
        <v/>
      </c>
      <c r="V174" s="21" t="str">
        <f t="shared" si="25"/>
        <v/>
      </c>
      <c r="W174" s="30"/>
      <c r="X174" s="30"/>
      <c r="Y174" s="30"/>
      <c r="Z174" s="30"/>
      <c r="AA174" s="30"/>
      <c r="AB174" s="30"/>
      <c r="AC174" s="30"/>
    </row>
    <row r="175" spans="1:29" x14ac:dyDescent="0.25">
      <c r="A175" s="16" t="s">
        <v>270</v>
      </c>
      <c r="B175" s="17" t="s">
        <v>271</v>
      </c>
      <c r="C175" s="17" t="s">
        <v>42</v>
      </c>
      <c r="D175" s="17" t="s">
        <v>61</v>
      </c>
      <c r="E175" s="17">
        <v>15</v>
      </c>
      <c r="F175" s="18">
        <v>390.92565337499997</v>
      </c>
      <c r="G175" s="18">
        <v>403.05065337499997</v>
      </c>
      <c r="H175" s="18">
        <v>448.25618175</v>
      </c>
      <c r="I175" s="30">
        <v>1</v>
      </c>
      <c r="J175" s="30"/>
      <c r="K175" s="30"/>
      <c r="L175" s="30"/>
      <c r="M175" s="30"/>
      <c r="N175" s="30"/>
      <c r="O175" s="30"/>
      <c r="P175" s="30"/>
      <c r="Q175" s="30"/>
      <c r="R175" s="26">
        <f t="shared" si="28"/>
        <v>1</v>
      </c>
      <c r="S175" s="21" t="str">
        <f t="shared" si="22"/>
        <v/>
      </c>
      <c r="T175" s="21" t="str">
        <f t="shared" si="23"/>
        <v/>
      </c>
      <c r="U175" s="21" t="str">
        <f t="shared" si="24"/>
        <v/>
      </c>
      <c r="V175" s="21" t="str">
        <f t="shared" si="25"/>
        <v/>
      </c>
      <c r="W175" s="30"/>
      <c r="X175" s="30"/>
      <c r="Y175" s="30"/>
      <c r="Z175" s="30"/>
      <c r="AA175" s="30"/>
      <c r="AB175" s="30"/>
      <c r="AC175" s="29">
        <f>IF(F2="HYDRAULIQUE","",1)</f>
        <v>1</v>
      </c>
    </row>
    <row r="176" spans="1:29" x14ac:dyDescent="0.25">
      <c r="A176" s="16" t="s">
        <v>294</v>
      </c>
      <c r="B176" s="17" t="s">
        <v>289</v>
      </c>
      <c r="C176" s="17" t="s">
        <v>34</v>
      </c>
      <c r="D176" s="17" t="s">
        <v>61</v>
      </c>
      <c r="E176" s="17">
        <v>145</v>
      </c>
      <c r="F176" s="18">
        <v>4421.6804461773763</v>
      </c>
      <c r="G176" s="18">
        <v>4558.8110913386672</v>
      </c>
      <c r="H176" s="18">
        <v>5070.4854520321742</v>
      </c>
      <c r="I176" s="30"/>
      <c r="J176" s="30"/>
      <c r="K176" s="30"/>
      <c r="L176" s="30"/>
      <c r="M176" s="30"/>
      <c r="N176" s="30"/>
      <c r="O176" s="30"/>
      <c r="P176" s="30"/>
      <c r="Q176" s="30"/>
      <c r="R176" s="26" t="str">
        <f t="shared" si="28"/>
        <v/>
      </c>
      <c r="S176" s="21" t="str">
        <f t="shared" si="22"/>
        <v/>
      </c>
      <c r="T176" s="21" t="str">
        <f t="shared" si="23"/>
        <v/>
      </c>
      <c r="U176" s="21" t="str">
        <f t="shared" si="24"/>
        <v/>
      </c>
      <c r="V176" s="21" t="str">
        <f t="shared" si="25"/>
        <v/>
      </c>
      <c r="W176" s="30"/>
      <c r="X176" s="30"/>
      <c r="Y176" s="30"/>
      <c r="Z176" s="30"/>
      <c r="AA176" s="30"/>
      <c r="AB176" s="30"/>
      <c r="AC176" s="30"/>
    </row>
    <row r="177" spans="1:29" x14ac:dyDescent="0.25">
      <c r="A177" s="16" t="s">
        <v>295</v>
      </c>
      <c r="B177" s="17" t="s">
        <v>290</v>
      </c>
      <c r="C177" s="17" t="s">
        <v>34</v>
      </c>
      <c r="D177" s="17" t="s">
        <v>61</v>
      </c>
      <c r="E177" s="17">
        <v>140</v>
      </c>
      <c r="F177" s="18">
        <v>3381.4608307767535</v>
      </c>
      <c r="G177" s="18">
        <v>3486.3334114219147</v>
      </c>
      <c r="H177" s="18">
        <v>3877.5623502631843</v>
      </c>
      <c r="I177" s="30"/>
      <c r="J177" s="30"/>
      <c r="K177" s="30"/>
      <c r="L177" s="30"/>
      <c r="M177" s="30"/>
      <c r="N177" s="30"/>
      <c r="O177" s="30"/>
      <c r="P177" s="30"/>
      <c r="Q177" s="30"/>
      <c r="R177" s="26" t="str">
        <f t="shared" si="28"/>
        <v/>
      </c>
      <c r="S177" s="21" t="str">
        <f t="shared" si="22"/>
        <v/>
      </c>
      <c r="T177" s="21" t="str">
        <f t="shared" si="23"/>
        <v/>
      </c>
      <c r="U177" s="21" t="str">
        <f t="shared" si="24"/>
        <v/>
      </c>
      <c r="V177" s="21" t="str">
        <f t="shared" si="25"/>
        <v/>
      </c>
      <c r="W177" s="30"/>
      <c r="X177" s="30"/>
      <c r="Y177" s="30"/>
      <c r="Z177" s="30"/>
      <c r="AA177" s="30"/>
      <c r="AB177" s="30"/>
      <c r="AC177" s="30"/>
    </row>
    <row r="178" spans="1:29" x14ac:dyDescent="0.25">
      <c r="A178" s="16" t="s">
        <v>296</v>
      </c>
      <c r="B178" s="17" t="s">
        <v>410</v>
      </c>
      <c r="C178" s="17" t="s">
        <v>35</v>
      </c>
      <c r="D178" s="17" t="s">
        <v>61</v>
      </c>
      <c r="E178" s="17">
        <v>38</v>
      </c>
      <c r="F178" s="18">
        <v>7335.289361626953</v>
      </c>
      <c r="G178" s="18">
        <v>7562.7651680785657</v>
      </c>
      <c r="H178" s="18">
        <v>8412.0368603506777</v>
      </c>
      <c r="I178" s="30"/>
      <c r="J178" s="30"/>
      <c r="K178" s="30"/>
      <c r="L178" s="30"/>
      <c r="M178" s="30"/>
      <c r="N178" s="30"/>
      <c r="O178" s="30"/>
      <c r="P178" s="30"/>
      <c r="Q178" s="30"/>
      <c r="R178" s="26" t="str">
        <f t="shared" si="28"/>
        <v/>
      </c>
      <c r="S178" s="21" t="str">
        <f t="shared" si="22"/>
        <v/>
      </c>
      <c r="T178" s="21" t="str">
        <f t="shared" si="23"/>
        <v/>
      </c>
      <c r="U178" s="21" t="str">
        <f t="shared" si="24"/>
        <v/>
      </c>
      <c r="V178" s="21" t="str">
        <f t="shared" si="25"/>
        <v/>
      </c>
      <c r="W178" s="30"/>
      <c r="X178" s="30"/>
      <c r="Y178" s="30"/>
      <c r="Z178" s="30"/>
      <c r="AA178" s="30"/>
      <c r="AB178" s="30"/>
      <c r="AC178" s="30"/>
    </row>
    <row r="179" spans="1:29" x14ac:dyDescent="0.25">
      <c r="A179" s="16" t="s">
        <v>297</v>
      </c>
      <c r="B179" s="17" t="s">
        <v>408</v>
      </c>
      <c r="C179" s="17" t="s">
        <v>34</v>
      </c>
      <c r="D179" s="17" t="s">
        <v>61</v>
      </c>
      <c r="E179" s="17">
        <v>145</v>
      </c>
      <c r="F179" s="18">
        <v>5659.5</v>
      </c>
      <c r="G179" s="18">
        <v>6144.6</v>
      </c>
      <c r="H179" s="18">
        <v>7114.800000000002</v>
      </c>
      <c r="I179" s="30"/>
      <c r="J179" s="30"/>
      <c r="K179" s="30"/>
      <c r="L179" s="30"/>
      <c r="M179" s="30"/>
      <c r="N179" s="30"/>
      <c r="O179" s="30"/>
      <c r="P179" s="30"/>
      <c r="Q179" s="30"/>
      <c r="R179" s="26" t="str">
        <f t="shared" si="28"/>
        <v/>
      </c>
      <c r="S179" s="21" t="str">
        <f t="shared" si="22"/>
        <v/>
      </c>
      <c r="T179" s="21" t="str">
        <f t="shared" si="23"/>
        <v/>
      </c>
      <c r="U179" s="21" t="str">
        <f t="shared" si="24"/>
        <v/>
      </c>
      <c r="V179" s="21" t="str">
        <f t="shared" si="25"/>
        <v/>
      </c>
      <c r="W179" s="30"/>
      <c r="X179" s="30"/>
      <c r="Y179" s="30"/>
      <c r="Z179" s="30"/>
      <c r="AA179" s="30"/>
      <c r="AB179" s="30"/>
      <c r="AC179" s="30"/>
    </row>
    <row r="180" spans="1:29" x14ac:dyDescent="0.25">
      <c r="A180" s="16" t="s">
        <v>298</v>
      </c>
      <c r="B180" s="17" t="s">
        <v>302</v>
      </c>
      <c r="C180" s="17" t="s">
        <v>35</v>
      </c>
      <c r="D180" s="17" t="s">
        <v>61</v>
      </c>
      <c r="E180" s="17">
        <v>140</v>
      </c>
      <c r="F180" s="18">
        <v>8575</v>
      </c>
      <c r="G180" s="18">
        <v>9310</v>
      </c>
      <c r="H180" s="18">
        <v>10780</v>
      </c>
      <c r="I180" s="30"/>
      <c r="J180" s="30"/>
      <c r="K180" s="30"/>
      <c r="L180" s="30"/>
      <c r="M180" s="30"/>
      <c r="N180" s="30"/>
      <c r="O180" s="30"/>
      <c r="P180" s="30"/>
      <c r="Q180" s="30"/>
      <c r="R180" s="26" t="str">
        <f t="shared" si="28"/>
        <v/>
      </c>
      <c r="S180" s="21" t="str">
        <f t="shared" si="22"/>
        <v/>
      </c>
      <c r="T180" s="21" t="str">
        <f t="shared" si="23"/>
        <v/>
      </c>
      <c r="U180" s="21" t="str">
        <f t="shared" si="24"/>
        <v/>
      </c>
      <c r="V180" s="21" t="str">
        <f t="shared" si="25"/>
        <v/>
      </c>
      <c r="W180" s="30"/>
      <c r="X180" s="30"/>
      <c r="Y180" s="30"/>
      <c r="Z180" s="30"/>
      <c r="AA180" s="30"/>
      <c r="AB180" s="30"/>
      <c r="AC180" s="30"/>
    </row>
    <row r="181" spans="1:29" x14ac:dyDescent="0.25">
      <c r="A181" s="16" t="s">
        <v>299</v>
      </c>
      <c r="B181" s="17" t="s">
        <v>310</v>
      </c>
      <c r="C181" s="17" t="s">
        <v>35</v>
      </c>
      <c r="D181" s="17" t="s">
        <v>61</v>
      </c>
      <c r="E181" s="17">
        <v>38</v>
      </c>
      <c r="F181" s="18">
        <v>810</v>
      </c>
      <c r="G181" s="18">
        <v>850</v>
      </c>
      <c r="H181" s="18">
        <v>970</v>
      </c>
      <c r="I181" s="30"/>
      <c r="J181" s="30"/>
      <c r="K181" s="30"/>
      <c r="L181" s="30"/>
      <c r="M181" s="30"/>
      <c r="N181" s="30"/>
      <c r="O181" s="30"/>
      <c r="P181" s="30"/>
      <c r="Q181" s="30"/>
      <c r="R181" s="26" t="str">
        <f t="shared" si="28"/>
        <v/>
      </c>
      <c r="S181" s="21" t="str">
        <f t="shared" ref="S181:S226" si="29">IF($C181=S$10,IF(AND(ISNUMBER(SEARCH($F$2,$B181)),ISNUMBER(SEARCH($N$2,$B181)),ISNUMBER(SEARCH($N$2,$B181))),1,""),"")</f>
        <v/>
      </c>
      <c r="T181" s="21" t="str">
        <f t="shared" ref="T181:T226" si="30">IF($C181=T$10,IF(AND(ISNUMBER(SEARCH($F$2,$B181)),ISNUMBER(SEARCH($N$2,$B181)),ISNUMBER(SEARCH($I$2,$B181))),1,""),"")</f>
        <v/>
      </c>
      <c r="U181" s="21" t="str">
        <f t="shared" ref="U181:U226" si="31">IF($C181=U$10,IF(AND(ISNUMBER(SEARCH($M$2,$B181)),ISNUMBER(SEARCH($L$2,$B181)),ISNUMBER(SEARCH($J$2,$B181)),ISNUMBER(SEARCH($K$2,$B181))),$H$2,""),"")</f>
        <v/>
      </c>
      <c r="V181" s="21" t="str">
        <f t="shared" ref="V181:V226" si="32">IF($C181=V$10,IF(AND(ISNUMBER(SEARCH($M$2,$B181)),ISNUMBER(SEARCH($J$2,$B181)),ISNUMBER(SEARCH($K$2,$B181)),$L$2="AUTOMATIQUE"),1,""),"")</f>
        <v/>
      </c>
      <c r="W181" s="30"/>
      <c r="X181" s="30"/>
      <c r="Y181" s="30"/>
      <c r="Z181" s="30"/>
      <c r="AA181" s="30"/>
      <c r="AB181" s="30"/>
      <c r="AC181" s="30"/>
    </row>
    <row r="182" spans="1:29" x14ac:dyDescent="0.25">
      <c r="A182" s="16" t="s">
        <v>311</v>
      </c>
      <c r="B182" s="17" t="s">
        <v>265</v>
      </c>
      <c r="C182" s="17" t="s">
        <v>34</v>
      </c>
      <c r="D182" s="17" t="s">
        <v>61</v>
      </c>
      <c r="E182" s="17">
        <v>135</v>
      </c>
      <c r="F182" s="18">
        <v>6099.2438153399999</v>
      </c>
      <c r="G182" s="18">
        <v>6288.3938153399995</v>
      </c>
      <c r="H182" s="18">
        <v>6994.4036806799995</v>
      </c>
      <c r="I182" s="30"/>
      <c r="J182" s="30"/>
      <c r="K182" s="30"/>
      <c r="L182" s="30"/>
      <c r="M182" s="30"/>
      <c r="N182" s="30"/>
      <c r="O182" s="30"/>
      <c r="P182" s="30"/>
      <c r="Q182" s="30"/>
      <c r="R182" s="26" t="str">
        <f t="shared" si="28"/>
        <v/>
      </c>
      <c r="S182" s="21" t="str">
        <f t="shared" si="29"/>
        <v/>
      </c>
      <c r="T182" s="21" t="str">
        <f t="shared" si="30"/>
        <v/>
      </c>
      <c r="U182" s="21" t="str">
        <f t="shared" si="31"/>
        <v/>
      </c>
      <c r="V182" s="21" t="str">
        <f t="shared" si="32"/>
        <v/>
      </c>
      <c r="W182" s="30"/>
      <c r="X182" s="30"/>
      <c r="Y182" s="30"/>
      <c r="Z182" s="30"/>
      <c r="AA182" s="30"/>
      <c r="AB182" s="30"/>
      <c r="AC182" s="30"/>
    </row>
    <row r="183" spans="1:29" x14ac:dyDescent="0.25">
      <c r="A183" s="16" t="s">
        <v>303</v>
      </c>
      <c r="B183" s="17" t="s">
        <v>267</v>
      </c>
      <c r="C183" s="17" t="s">
        <v>34</v>
      </c>
      <c r="D183" s="17" t="s">
        <v>61</v>
      </c>
      <c r="E183" s="17">
        <v>135</v>
      </c>
      <c r="F183" s="18">
        <v>4769.7750883350009</v>
      </c>
      <c r="G183" s="18">
        <v>4917.7000883350011</v>
      </c>
      <c r="H183" s="18">
        <v>5469.6896516699999</v>
      </c>
      <c r="I183" s="30"/>
      <c r="J183" s="30"/>
      <c r="K183" s="30"/>
      <c r="L183" s="30"/>
      <c r="M183" s="30"/>
      <c r="N183" s="30"/>
      <c r="O183" s="30"/>
      <c r="P183" s="30"/>
      <c r="Q183" s="30"/>
      <c r="R183" s="26" t="str">
        <f t="shared" si="28"/>
        <v/>
      </c>
      <c r="S183" s="21" t="str">
        <f t="shared" si="29"/>
        <v/>
      </c>
      <c r="T183" s="21" t="str">
        <f t="shared" si="30"/>
        <v/>
      </c>
      <c r="U183" s="21" t="str">
        <f t="shared" si="31"/>
        <v/>
      </c>
      <c r="V183" s="21" t="str">
        <f t="shared" si="32"/>
        <v/>
      </c>
      <c r="W183" s="30"/>
      <c r="X183" s="30"/>
      <c r="Y183" s="30"/>
      <c r="Z183" s="30"/>
      <c r="AA183" s="30"/>
      <c r="AB183" s="30"/>
      <c r="AC183" s="30"/>
    </row>
    <row r="184" spans="1:29" x14ac:dyDescent="0.25">
      <c r="A184" s="16" t="s">
        <v>304</v>
      </c>
      <c r="B184" s="17" t="s">
        <v>269</v>
      </c>
      <c r="C184" s="17" t="s">
        <v>35</v>
      </c>
      <c r="D184" s="17" t="s">
        <v>61</v>
      </c>
      <c r="E184" s="17">
        <v>110</v>
      </c>
      <c r="F184" s="18">
        <v>11730.839287500001</v>
      </c>
      <c r="G184" s="18">
        <v>12094.589287500001</v>
      </c>
      <c r="H184" s="18">
        <v>13453.824825</v>
      </c>
      <c r="I184" s="30"/>
      <c r="J184" s="30"/>
      <c r="K184" s="30"/>
      <c r="L184" s="30"/>
      <c r="M184" s="30"/>
      <c r="N184" s="30"/>
      <c r="O184" s="30"/>
      <c r="P184" s="30"/>
      <c r="Q184" s="30"/>
      <c r="R184" s="26" t="str">
        <f t="shared" si="28"/>
        <v/>
      </c>
      <c r="S184" s="21" t="str">
        <f t="shared" si="29"/>
        <v/>
      </c>
      <c r="T184" s="21" t="str">
        <f t="shared" si="30"/>
        <v/>
      </c>
      <c r="U184" s="21" t="str">
        <f t="shared" si="31"/>
        <v/>
      </c>
      <c r="V184" s="21" t="str">
        <f t="shared" si="32"/>
        <v/>
      </c>
      <c r="W184" s="30"/>
      <c r="X184" s="30"/>
      <c r="Y184" s="30"/>
      <c r="Z184" s="30"/>
      <c r="AA184" s="30"/>
      <c r="AB184" s="30"/>
      <c r="AC184" s="30"/>
    </row>
    <row r="185" spans="1:29" x14ac:dyDescent="0.25">
      <c r="A185" s="16" t="s">
        <v>313</v>
      </c>
      <c r="B185" s="17" t="s">
        <v>394</v>
      </c>
      <c r="C185" s="17" t="s">
        <v>42</v>
      </c>
      <c r="D185" s="17" t="s">
        <v>61</v>
      </c>
      <c r="E185" s="17">
        <v>15</v>
      </c>
      <c r="F185" s="18">
        <v>1375.9200000000003</v>
      </c>
      <c r="G185" s="18">
        <v>1452.3600000000001</v>
      </c>
      <c r="H185" s="18">
        <v>1605.2400000000002</v>
      </c>
      <c r="I185" s="30"/>
      <c r="J185" s="30"/>
      <c r="K185" s="30"/>
      <c r="L185" s="30"/>
      <c r="M185" s="30"/>
      <c r="N185" s="30"/>
      <c r="O185" s="30"/>
      <c r="P185" s="30"/>
      <c r="Q185" s="30"/>
      <c r="R185" s="26" t="str">
        <f t="shared" si="28"/>
        <v/>
      </c>
      <c r="S185" s="21" t="str">
        <f t="shared" si="29"/>
        <v/>
      </c>
      <c r="T185" s="21" t="str">
        <f t="shared" si="30"/>
        <v/>
      </c>
      <c r="U185" s="21" t="str">
        <f t="shared" si="31"/>
        <v/>
      </c>
      <c r="V185" s="21" t="str">
        <f t="shared" si="32"/>
        <v/>
      </c>
      <c r="W185" s="30"/>
      <c r="X185" s="30"/>
      <c r="Y185" s="30"/>
      <c r="Z185" s="30"/>
      <c r="AA185" s="30"/>
      <c r="AB185" s="30"/>
      <c r="AC185" s="30"/>
    </row>
    <row r="186" spans="1:29" x14ac:dyDescent="0.25">
      <c r="A186" s="16" t="s">
        <v>325</v>
      </c>
      <c r="B186" s="17" t="s">
        <v>454</v>
      </c>
      <c r="C186" s="17" t="s">
        <v>455</v>
      </c>
      <c r="D186" s="17" t="s">
        <v>45</v>
      </c>
      <c r="E186" s="17">
        <v>0</v>
      </c>
      <c r="F186" s="18">
        <v>0</v>
      </c>
      <c r="G186" s="18">
        <v>34239.97</v>
      </c>
      <c r="H186" s="18">
        <v>0</v>
      </c>
      <c r="I186" s="30"/>
      <c r="J186" s="30"/>
      <c r="K186" s="30"/>
      <c r="L186" s="30"/>
      <c r="M186" s="30"/>
      <c r="N186" s="30"/>
      <c r="O186" s="30"/>
      <c r="P186" s="30"/>
      <c r="Q186" s="30"/>
      <c r="R186" s="26" t="str">
        <f t="shared" si="28"/>
        <v/>
      </c>
      <c r="S186" s="21" t="str">
        <f t="shared" si="29"/>
        <v/>
      </c>
      <c r="T186" s="21" t="str">
        <f t="shared" si="30"/>
        <v/>
      </c>
      <c r="U186" s="21" t="str">
        <f t="shared" si="31"/>
        <v/>
      </c>
      <c r="V186" s="21" t="str">
        <f t="shared" si="32"/>
        <v/>
      </c>
      <c r="W186" s="30"/>
      <c r="X186" s="30"/>
      <c r="Y186" s="30"/>
      <c r="Z186" s="30"/>
      <c r="AA186" s="30"/>
      <c r="AB186" s="30"/>
      <c r="AC186" s="30"/>
    </row>
    <row r="187" spans="1:29" x14ac:dyDescent="0.25">
      <c r="A187" s="16" t="s">
        <v>326</v>
      </c>
      <c r="B187" s="17" t="s">
        <v>456</v>
      </c>
      <c r="C187" s="17" t="s">
        <v>455</v>
      </c>
      <c r="D187" s="17" t="s">
        <v>45</v>
      </c>
      <c r="E187" s="17">
        <v>0</v>
      </c>
      <c r="F187" s="18">
        <v>0</v>
      </c>
      <c r="G187" s="18">
        <v>34239.97</v>
      </c>
      <c r="H187" s="18">
        <v>0</v>
      </c>
      <c r="I187" s="30"/>
      <c r="J187" s="30"/>
      <c r="K187" s="30"/>
      <c r="L187" s="30"/>
      <c r="M187" s="30"/>
      <c r="N187" s="30"/>
      <c r="O187" s="30"/>
      <c r="P187" s="30"/>
      <c r="Q187" s="30"/>
      <c r="R187" s="26" t="str">
        <f t="shared" si="28"/>
        <v/>
      </c>
      <c r="S187" s="21" t="str">
        <f t="shared" si="29"/>
        <v/>
      </c>
      <c r="T187" s="21" t="str">
        <f t="shared" si="30"/>
        <v/>
      </c>
      <c r="U187" s="21" t="str">
        <f t="shared" si="31"/>
        <v/>
      </c>
      <c r="V187" s="21" t="str">
        <f t="shared" si="32"/>
        <v/>
      </c>
      <c r="W187" s="30"/>
      <c r="X187" s="30"/>
      <c r="Y187" s="30"/>
      <c r="Z187" s="30"/>
      <c r="AA187" s="30"/>
      <c r="AB187" s="30"/>
      <c r="AC187" s="30"/>
    </row>
    <row r="188" spans="1:29" x14ac:dyDescent="0.25">
      <c r="A188" s="16" t="s">
        <v>327</v>
      </c>
      <c r="B188" s="17" t="s">
        <v>457</v>
      </c>
      <c r="C188" s="17" t="s">
        <v>455</v>
      </c>
      <c r="D188" s="17" t="s">
        <v>45</v>
      </c>
      <c r="E188" s="17">
        <v>0</v>
      </c>
      <c r="F188" s="18">
        <v>0</v>
      </c>
      <c r="G188" s="18">
        <v>34239.97</v>
      </c>
      <c r="H188" s="18">
        <v>0</v>
      </c>
      <c r="I188" s="30"/>
      <c r="J188" s="30"/>
      <c r="K188" s="30"/>
      <c r="L188" s="30"/>
      <c r="M188" s="30"/>
      <c r="N188" s="30"/>
      <c r="O188" s="30"/>
      <c r="P188" s="30"/>
      <c r="Q188" s="30"/>
      <c r="R188" s="26" t="str">
        <f t="shared" si="28"/>
        <v/>
      </c>
      <c r="S188" s="21" t="str">
        <f t="shared" si="29"/>
        <v/>
      </c>
      <c r="T188" s="21" t="str">
        <f t="shared" si="30"/>
        <v/>
      </c>
      <c r="U188" s="21" t="str">
        <f t="shared" si="31"/>
        <v/>
      </c>
      <c r="V188" s="21" t="str">
        <f t="shared" si="32"/>
        <v/>
      </c>
      <c r="W188" s="30"/>
      <c r="X188" s="30"/>
      <c r="Y188" s="30"/>
      <c r="Z188" s="30"/>
      <c r="AA188" s="30"/>
      <c r="AB188" s="30"/>
      <c r="AC188" s="30"/>
    </row>
    <row r="189" spans="1:29" x14ac:dyDescent="0.25">
      <c r="A189" s="16" t="s">
        <v>328</v>
      </c>
      <c r="B189" s="17" t="s">
        <v>458</v>
      </c>
      <c r="C189" s="17" t="s">
        <v>455</v>
      </c>
      <c r="D189" s="17" t="s">
        <v>45</v>
      </c>
      <c r="E189" s="17">
        <v>0</v>
      </c>
      <c r="F189" s="18">
        <v>0</v>
      </c>
      <c r="G189" s="18">
        <v>34239.97</v>
      </c>
      <c r="H189" s="18">
        <v>0</v>
      </c>
      <c r="I189" s="30"/>
      <c r="J189" s="30"/>
      <c r="K189" s="30"/>
      <c r="L189" s="30"/>
      <c r="M189" s="30"/>
      <c r="N189" s="30"/>
      <c r="O189" s="30"/>
      <c r="P189" s="30"/>
      <c r="Q189" s="30"/>
      <c r="R189" s="26" t="str">
        <f t="shared" si="28"/>
        <v/>
      </c>
      <c r="S189" s="21" t="str">
        <f t="shared" si="29"/>
        <v/>
      </c>
      <c r="T189" s="21" t="str">
        <f t="shared" si="30"/>
        <v/>
      </c>
      <c r="U189" s="21" t="str">
        <f t="shared" si="31"/>
        <v/>
      </c>
      <c r="V189" s="21" t="str">
        <f t="shared" si="32"/>
        <v/>
      </c>
      <c r="W189" s="30"/>
      <c r="X189" s="30"/>
      <c r="Y189" s="30"/>
      <c r="Z189" s="30"/>
      <c r="AA189" s="30"/>
      <c r="AB189" s="30"/>
      <c r="AC189" s="30"/>
    </row>
    <row r="190" spans="1:29" x14ac:dyDescent="0.25">
      <c r="A190" s="16" t="s">
        <v>329</v>
      </c>
      <c r="B190" s="17" t="s">
        <v>459</v>
      </c>
      <c r="C190" s="17" t="s">
        <v>455</v>
      </c>
      <c r="D190" s="17" t="s">
        <v>45</v>
      </c>
      <c r="E190" s="17">
        <v>0</v>
      </c>
      <c r="F190" s="18">
        <v>0</v>
      </c>
      <c r="G190" s="18">
        <v>47580.23</v>
      </c>
      <c r="H190" s="18">
        <v>0</v>
      </c>
      <c r="I190" s="30"/>
      <c r="J190" s="30"/>
      <c r="K190" s="30"/>
      <c r="L190" s="30"/>
      <c r="M190" s="30"/>
      <c r="N190" s="30"/>
      <c r="O190" s="30"/>
      <c r="P190" s="30"/>
      <c r="Q190" s="30"/>
      <c r="R190" s="26" t="str">
        <f t="shared" si="28"/>
        <v/>
      </c>
      <c r="S190" s="21" t="str">
        <f t="shared" si="29"/>
        <v/>
      </c>
      <c r="T190" s="21" t="str">
        <f t="shared" si="30"/>
        <v/>
      </c>
      <c r="U190" s="21" t="str">
        <f t="shared" si="31"/>
        <v/>
      </c>
      <c r="V190" s="21" t="str">
        <f t="shared" si="32"/>
        <v/>
      </c>
      <c r="W190" s="30"/>
      <c r="X190" s="30"/>
      <c r="Y190" s="30"/>
      <c r="Z190" s="30"/>
      <c r="AA190" s="30"/>
      <c r="AB190" s="30"/>
      <c r="AC190" s="30"/>
    </row>
    <row r="191" spans="1:29" x14ac:dyDescent="0.25">
      <c r="A191" s="16" t="s">
        <v>330</v>
      </c>
      <c r="B191" s="17" t="s">
        <v>460</v>
      </c>
      <c r="C191" s="17" t="s">
        <v>455</v>
      </c>
      <c r="D191" s="17" t="s">
        <v>45</v>
      </c>
      <c r="E191" s="17">
        <v>0</v>
      </c>
      <c r="F191" s="18">
        <v>0</v>
      </c>
      <c r="G191" s="100">
        <v>47580.23</v>
      </c>
      <c r="H191" s="18">
        <v>0</v>
      </c>
      <c r="I191" s="30"/>
      <c r="J191" s="30"/>
      <c r="K191" s="30"/>
      <c r="L191" s="30"/>
      <c r="M191" s="30"/>
      <c r="N191" s="30"/>
      <c r="O191" s="30"/>
      <c r="P191" s="30"/>
      <c r="Q191" s="30"/>
      <c r="R191" s="26" t="str">
        <f t="shared" si="28"/>
        <v/>
      </c>
      <c r="S191" s="21" t="str">
        <f t="shared" si="29"/>
        <v/>
      </c>
      <c r="T191" s="21" t="str">
        <f t="shared" si="30"/>
        <v/>
      </c>
      <c r="U191" s="21" t="str">
        <f t="shared" si="31"/>
        <v/>
      </c>
      <c r="V191" s="21" t="str">
        <f t="shared" si="32"/>
        <v/>
      </c>
      <c r="W191" s="30"/>
      <c r="X191" s="30"/>
      <c r="Y191" s="30"/>
      <c r="Z191" s="30"/>
      <c r="AA191" s="30"/>
      <c r="AB191" s="30"/>
      <c r="AC191" s="30"/>
    </row>
    <row r="192" spans="1:29" x14ac:dyDescent="0.25">
      <c r="A192" s="16" t="s">
        <v>331</v>
      </c>
      <c r="B192" s="17" t="s">
        <v>461</v>
      </c>
      <c r="C192" s="17" t="s">
        <v>455</v>
      </c>
      <c r="D192" s="17" t="s">
        <v>45</v>
      </c>
      <c r="E192" s="17">
        <v>0</v>
      </c>
      <c r="F192" s="18">
        <v>0</v>
      </c>
      <c r="G192" s="18">
        <v>47580.23</v>
      </c>
      <c r="H192" s="18">
        <v>0</v>
      </c>
      <c r="I192" s="30"/>
      <c r="J192" s="30"/>
      <c r="K192" s="30"/>
      <c r="L192" s="30"/>
      <c r="M192" s="30"/>
      <c r="N192" s="30"/>
      <c r="O192" s="30"/>
      <c r="P192" s="30"/>
      <c r="Q192" s="30"/>
      <c r="R192" s="26" t="str">
        <f t="shared" si="28"/>
        <v/>
      </c>
      <c r="S192" s="21" t="str">
        <f t="shared" si="29"/>
        <v/>
      </c>
      <c r="T192" s="21" t="str">
        <f t="shared" si="30"/>
        <v/>
      </c>
      <c r="U192" s="21" t="str">
        <f t="shared" si="31"/>
        <v/>
      </c>
      <c r="V192" s="21" t="str">
        <f t="shared" si="32"/>
        <v/>
      </c>
      <c r="W192" s="30"/>
      <c r="X192" s="30"/>
      <c r="Y192" s="30"/>
      <c r="Z192" s="30"/>
      <c r="AA192" s="30"/>
      <c r="AB192" s="30"/>
      <c r="AC192" s="30"/>
    </row>
    <row r="193" spans="1:29" x14ac:dyDescent="0.25">
      <c r="A193" s="16" t="s">
        <v>332</v>
      </c>
      <c r="B193" s="17" t="s">
        <v>462</v>
      </c>
      <c r="C193" s="17" t="s">
        <v>455</v>
      </c>
      <c r="D193" s="17" t="s">
        <v>45</v>
      </c>
      <c r="E193" s="17">
        <v>0</v>
      </c>
      <c r="F193" s="18">
        <v>0</v>
      </c>
      <c r="G193" s="18">
        <v>47580.23</v>
      </c>
      <c r="H193" s="18">
        <v>0</v>
      </c>
      <c r="I193" s="30"/>
      <c r="J193" s="30"/>
      <c r="K193" s="30"/>
      <c r="L193" s="30"/>
      <c r="M193" s="30"/>
      <c r="N193" s="30"/>
      <c r="O193" s="30"/>
      <c r="P193" s="30"/>
      <c r="Q193" s="30"/>
      <c r="R193" s="26" t="str">
        <f t="shared" si="28"/>
        <v/>
      </c>
      <c r="S193" s="21" t="str">
        <f t="shared" si="29"/>
        <v/>
      </c>
      <c r="T193" s="21" t="str">
        <f t="shared" si="30"/>
        <v/>
      </c>
      <c r="U193" s="21" t="str">
        <f t="shared" si="31"/>
        <v/>
      </c>
      <c r="V193" s="21" t="str">
        <f t="shared" si="32"/>
        <v/>
      </c>
      <c r="W193" s="30"/>
      <c r="X193" s="30"/>
      <c r="Y193" s="30"/>
      <c r="Z193" s="30"/>
      <c r="AA193" s="30"/>
      <c r="AB193" s="30"/>
      <c r="AC193" s="30"/>
    </row>
    <row r="194" spans="1:29" x14ac:dyDescent="0.25">
      <c r="A194" s="16" t="s">
        <v>333</v>
      </c>
      <c r="B194" s="17" t="s">
        <v>463</v>
      </c>
      <c r="C194" s="17" t="s">
        <v>455</v>
      </c>
      <c r="D194" s="17" t="s">
        <v>45</v>
      </c>
      <c r="E194" s="17">
        <v>0</v>
      </c>
      <c r="F194" s="18">
        <v>0</v>
      </c>
      <c r="G194" s="18">
        <v>60920.480000000003</v>
      </c>
      <c r="H194" s="18">
        <v>0</v>
      </c>
      <c r="I194" s="30"/>
      <c r="J194" s="30"/>
      <c r="K194" s="30"/>
      <c r="L194" s="30"/>
      <c r="M194" s="30"/>
      <c r="N194" s="30"/>
      <c r="O194" s="30"/>
      <c r="P194" s="30"/>
      <c r="Q194" s="30"/>
      <c r="R194" s="26" t="str">
        <f t="shared" ref="R194:R200" si="33">IF(SUM(S194:AC194)&lt;&gt;0,SUM(S194:AC194),"")</f>
        <v/>
      </c>
      <c r="S194" s="21" t="str">
        <f t="shared" si="29"/>
        <v/>
      </c>
      <c r="T194" s="21" t="str">
        <f t="shared" si="30"/>
        <v/>
      </c>
      <c r="U194" s="21" t="str">
        <f t="shared" si="31"/>
        <v/>
      </c>
      <c r="V194" s="21" t="str">
        <f t="shared" si="32"/>
        <v/>
      </c>
      <c r="W194" s="30"/>
      <c r="X194" s="30"/>
      <c r="Y194" s="30"/>
      <c r="Z194" s="30"/>
      <c r="AA194" s="30"/>
      <c r="AB194" s="30"/>
      <c r="AC194" s="30"/>
    </row>
    <row r="195" spans="1:29" x14ac:dyDescent="0.25">
      <c r="A195" s="16" t="s">
        <v>334</v>
      </c>
      <c r="B195" s="17" t="s">
        <v>464</v>
      </c>
      <c r="C195" s="17" t="s">
        <v>455</v>
      </c>
      <c r="D195" s="17" t="s">
        <v>45</v>
      </c>
      <c r="E195" s="17">
        <v>0</v>
      </c>
      <c r="F195" s="18">
        <v>0</v>
      </c>
      <c r="G195" s="100">
        <v>60920.480000000003</v>
      </c>
      <c r="H195" s="18">
        <v>0</v>
      </c>
      <c r="I195" s="30"/>
      <c r="J195" s="30"/>
      <c r="K195" s="30"/>
      <c r="L195" s="30"/>
      <c r="M195" s="30"/>
      <c r="N195" s="30"/>
      <c r="O195" s="30"/>
      <c r="P195" s="30"/>
      <c r="Q195" s="30"/>
      <c r="R195" s="26" t="str">
        <f t="shared" si="33"/>
        <v/>
      </c>
      <c r="S195" s="21" t="str">
        <f t="shared" si="29"/>
        <v/>
      </c>
      <c r="T195" s="21" t="str">
        <f t="shared" si="30"/>
        <v/>
      </c>
      <c r="U195" s="21" t="str">
        <f t="shared" si="31"/>
        <v/>
      </c>
      <c r="V195" s="21" t="str">
        <f t="shared" si="32"/>
        <v/>
      </c>
      <c r="W195" s="30"/>
      <c r="X195" s="30"/>
      <c r="Y195" s="30"/>
      <c r="Z195" s="30"/>
      <c r="AA195" s="30"/>
      <c r="AB195" s="30"/>
      <c r="AC195" s="30"/>
    </row>
    <row r="196" spans="1:29" x14ac:dyDescent="0.25">
      <c r="A196" s="16" t="s">
        <v>335</v>
      </c>
      <c r="B196" s="17" t="s">
        <v>465</v>
      </c>
      <c r="C196" s="17" t="s">
        <v>455</v>
      </c>
      <c r="D196" s="17" t="s">
        <v>45</v>
      </c>
      <c r="E196" s="17">
        <v>0</v>
      </c>
      <c r="F196" s="18">
        <v>0</v>
      </c>
      <c r="G196" s="18">
        <v>60920.480000000003</v>
      </c>
      <c r="H196" s="18">
        <v>0</v>
      </c>
      <c r="I196" s="30"/>
      <c r="J196" s="30"/>
      <c r="K196" s="30"/>
      <c r="L196" s="30"/>
      <c r="M196" s="30"/>
      <c r="N196" s="30"/>
      <c r="O196" s="30"/>
      <c r="P196" s="30"/>
      <c r="Q196" s="30"/>
      <c r="R196" s="26" t="str">
        <f t="shared" si="33"/>
        <v/>
      </c>
      <c r="S196" s="21" t="str">
        <f t="shared" si="29"/>
        <v/>
      </c>
      <c r="T196" s="21" t="str">
        <f t="shared" si="30"/>
        <v/>
      </c>
      <c r="U196" s="21" t="str">
        <f t="shared" si="31"/>
        <v/>
      </c>
      <c r="V196" s="21" t="str">
        <f t="shared" si="32"/>
        <v/>
      </c>
      <c r="W196" s="30"/>
      <c r="X196" s="30"/>
      <c r="Y196" s="30"/>
      <c r="Z196" s="30"/>
      <c r="AA196" s="30"/>
      <c r="AB196" s="30"/>
      <c r="AC196" s="30"/>
    </row>
    <row r="197" spans="1:29" x14ac:dyDescent="0.25">
      <c r="A197" s="16" t="s">
        <v>336</v>
      </c>
      <c r="B197" s="17" t="s">
        <v>466</v>
      </c>
      <c r="C197" s="17" t="s">
        <v>455</v>
      </c>
      <c r="D197" s="17" t="s">
        <v>45</v>
      </c>
      <c r="E197" s="17">
        <v>0</v>
      </c>
      <c r="F197" s="18">
        <v>0</v>
      </c>
      <c r="G197" s="18">
        <v>60920.480000000003</v>
      </c>
      <c r="H197" s="18">
        <v>0</v>
      </c>
      <c r="I197" s="30"/>
      <c r="J197" s="30"/>
      <c r="K197" s="30"/>
      <c r="L197" s="30"/>
      <c r="M197" s="30"/>
      <c r="N197" s="30"/>
      <c r="O197" s="30"/>
      <c r="P197" s="30"/>
      <c r="Q197" s="30"/>
      <c r="R197" s="26" t="str">
        <f t="shared" si="33"/>
        <v/>
      </c>
      <c r="S197" s="21" t="str">
        <f t="shared" si="29"/>
        <v/>
      </c>
      <c r="T197" s="21" t="str">
        <f t="shared" si="30"/>
        <v/>
      </c>
      <c r="U197" s="21" t="str">
        <f t="shared" si="31"/>
        <v/>
      </c>
      <c r="V197" s="21" t="str">
        <f t="shared" si="32"/>
        <v/>
      </c>
      <c r="W197" s="30"/>
      <c r="X197" s="30"/>
      <c r="Y197" s="30"/>
      <c r="Z197" s="30"/>
      <c r="AA197" s="30"/>
      <c r="AB197" s="30"/>
      <c r="AC197" s="30"/>
    </row>
    <row r="198" spans="1:29" x14ac:dyDescent="0.25">
      <c r="A198" s="16" t="s">
        <v>337</v>
      </c>
      <c r="B198" s="17" t="s">
        <v>467</v>
      </c>
      <c r="C198" s="17" t="s">
        <v>455</v>
      </c>
      <c r="D198" s="17" t="s">
        <v>45</v>
      </c>
      <c r="E198" s="17">
        <v>0</v>
      </c>
      <c r="F198" s="18">
        <v>0</v>
      </c>
      <c r="G198" s="18">
        <v>74260.73</v>
      </c>
      <c r="H198" s="18">
        <v>0</v>
      </c>
      <c r="I198" s="30"/>
      <c r="J198" s="30"/>
      <c r="K198" s="30"/>
      <c r="L198" s="30"/>
      <c r="M198" s="30"/>
      <c r="N198" s="30"/>
      <c r="O198" s="30"/>
      <c r="P198" s="30"/>
      <c r="Q198" s="30"/>
      <c r="R198" s="26" t="str">
        <f t="shared" si="33"/>
        <v/>
      </c>
      <c r="S198" s="21" t="str">
        <f t="shared" si="29"/>
        <v/>
      </c>
      <c r="T198" s="21" t="str">
        <f t="shared" si="30"/>
        <v/>
      </c>
      <c r="U198" s="21" t="str">
        <f t="shared" si="31"/>
        <v/>
      </c>
      <c r="V198" s="21" t="str">
        <f t="shared" si="32"/>
        <v/>
      </c>
      <c r="W198" s="30"/>
      <c r="X198" s="30"/>
      <c r="Y198" s="30"/>
      <c r="Z198" s="30"/>
      <c r="AA198" s="30"/>
      <c r="AB198" s="30"/>
      <c r="AC198" s="30"/>
    </row>
    <row r="199" spans="1:29" x14ac:dyDescent="0.25">
      <c r="A199" s="16" t="s">
        <v>338</v>
      </c>
      <c r="B199" s="17" t="s">
        <v>468</v>
      </c>
      <c r="C199" s="17" t="s">
        <v>455</v>
      </c>
      <c r="D199" s="17" t="s">
        <v>45</v>
      </c>
      <c r="E199" s="17">
        <v>0</v>
      </c>
      <c r="F199" s="18">
        <v>0</v>
      </c>
      <c r="G199" s="18">
        <v>74260.73</v>
      </c>
      <c r="H199" s="18">
        <v>0</v>
      </c>
      <c r="I199" s="30"/>
      <c r="J199" s="30"/>
      <c r="K199" s="30"/>
      <c r="L199" s="30"/>
      <c r="M199" s="30"/>
      <c r="N199" s="30"/>
      <c r="O199" s="30"/>
      <c r="P199" s="30"/>
      <c r="Q199" s="30"/>
      <c r="R199" s="26" t="str">
        <f t="shared" si="33"/>
        <v/>
      </c>
      <c r="S199" s="21" t="str">
        <f t="shared" si="29"/>
        <v/>
      </c>
      <c r="T199" s="21" t="str">
        <f t="shared" si="30"/>
        <v/>
      </c>
      <c r="U199" s="21" t="str">
        <f t="shared" si="31"/>
        <v/>
      </c>
      <c r="V199" s="21" t="str">
        <f t="shared" si="32"/>
        <v/>
      </c>
      <c r="W199" s="30"/>
      <c r="X199" s="30"/>
      <c r="Y199" s="30"/>
      <c r="Z199" s="30"/>
      <c r="AA199" s="30"/>
      <c r="AB199" s="30"/>
      <c r="AC199" s="30"/>
    </row>
    <row r="200" spans="1:29" x14ac:dyDescent="0.25">
      <c r="A200" s="16" t="s">
        <v>339</v>
      </c>
      <c r="B200" s="17" t="s">
        <v>469</v>
      </c>
      <c r="C200" s="17" t="s">
        <v>455</v>
      </c>
      <c r="D200" s="17" t="s">
        <v>45</v>
      </c>
      <c r="E200" s="17">
        <v>0</v>
      </c>
      <c r="F200" s="18">
        <v>0</v>
      </c>
      <c r="G200" s="18">
        <v>74260.73</v>
      </c>
      <c r="H200" s="18">
        <v>0</v>
      </c>
      <c r="I200" s="30"/>
      <c r="J200" s="30"/>
      <c r="K200" s="30"/>
      <c r="L200" s="30"/>
      <c r="M200" s="30"/>
      <c r="N200" s="30"/>
      <c r="O200" s="30"/>
      <c r="P200" s="30"/>
      <c r="Q200" s="30"/>
      <c r="R200" s="26" t="str">
        <f t="shared" si="33"/>
        <v/>
      </c>
      <c r="S200" s="21" t="str">
        <f t="shared" si="29"/>
        <v/>
      </c>
      <c r="T200" s="21" t="str">
        <f t="shared" si="30"/>
        <v/>
      </c>
      <c r="U200" s="21" t="str">
        <f t="shared" si="31"/>
        <v/>
      </c>
      <c r="V200" s="21" t="str">
        <f t="shared" si="32"/>
        <v/>
      </c>
      <c r="W200" s="30"/>
      <c r="X200" s="30"/>
      <c r="Y200" s="30"/>
      <c r="Z200" s="30"/>
      <c r="AA200" s="30"/>
      <c r="AB200" s="30"/>
      <c r="AC200" s="30"/>
    </row>
    <row r="201" spans="1:29" x14ac:dyDescent="0.25">
      <c r="A201" s="16" t="s">
        <v>340</v>
      </c>
      <c r="B201" s="17" t="s">
        <v>470</v>
      </c>
      <c r="C201" s="17" t="s">
        <v>455</v>
      </c>
      <c r="D201" s="17" t="s">
        <v>45</v>
      </c>
      <c r="E201" s="17">
        <v>0</v>
      </c>
      <c r="F201" s="18">
        <v>0</v>
      </c>
      <c r="G201" s="18">
        <v>74260.73</v>
      </c>
      <c r="H201" s="18">
        <v>0</v>
      </c>
      <c r="I201" s="30"/>
      <c r="J201" s="30"/>
      <c r="K201" s="30"/>
      <c r="L201" s="30"/>
      <c r="M201" s="30"/>
      <c r="N201" s="30"/>
      <c r="O201" s="30"/>
      <c r="P201" s="30"/>
      <c r="Q201" s="30"/>
      <c r="R201" s="26" t="str">
        <f t="shared" ref="R201:R226" si="34">IF(SUM(S201:AC201)&lt;&gt;0,SUM(S201:AC201),"")</f>
        <v/>
      </c>
      <c r="S201" s="21" t="str">
        <f t="shared" si="29"/>
        <v/>
      </c>
      <c r="T201" s="21" t="str">
        <f t="shared" si="30"/>
        <v/>
      </c>
      <c r="U201" s="21" t="str">
        <f t="shared" si="31"/>
        <v/>
      </c>
      <c r="V201" s="21" t="str">
        <f t="shared" si="32"/>
        <v/>
      </c>
      <c r="W201" s="30"/>
      <c r="X201" s="30"/>
      <c r="Y201" s="30"/>
      <c r="Z201" s="30"/>
      <c r="AA201" s="30"/>
      <c r="AB201" s="30"/>
      <c r="AC201" s="30"/>
    </row>
    <row r="202" spans="1:29" x14ac:dyDescent="0.25">
      <c r="A202" s="16" t="s">
        <v>341</v>
      </c>
      <c r="B202" s="17" t="s">
        <v>471</v>
      </c>
      <c r="C202" s="17" t="s">
        <v>455</v>
      </c>
      <c r="D202" s="17" t="s">
        <v>45</v>
      </c>
      <c r="E202" s="17">
        <v>0</v>
      </c>
      <c r="F202" s="18">
        <v>0</v>
      </c>
      <c r="G202" s="18">
        <v>87600.98</v>
      </c>
      <c r="H202" s="18">
        <v>0</v>
      </c>
      <c r="I202" s="30"/>
      <c r="J202" s="30"/>
      <c r="K202" s="30"/>
      <c r="L202" s="30"/>
      <c r="M202" s="30"/>
      <c r="N202" s="30"/>
      <c r="O202" s="30"/>
      <c r="P202" s="30"/>
      <c r="Q202" s="30"/>
      <c r="R202" s="26" t="str">
        <f t="shared" si="34"/>
        <v/>
      </c>
      <c r="S202" s="21" t="str">
        <f t="shared" si="29"/>
        <v/>
      </c>
      <c r="T202" s="21" t="str">
        <f t="shared" si="30"/>
        <v/>
      </c>
      <c r="U202" s="21" t="str">
        <f t="shared" si="31"/>
        <v/>
      </c>
      <c r="V202" s="21" t="str">
        <f t="shared" si="32"/>
        <v/>
      </c>
      <c r="W202" s="30"/>
      <c r="X202" s="30"/>
      <c r="Y202" s="30"/>
      <c r="Z202" s="30"/>
      <c r="AA202" s="30"/>
      <c r="AB202" s="30"/>
      <c r="AC202" s="30"/>
    </row>
    <row r="203" spans="1:29" x14ac:dyDescent="0.25">
      <c r="A203" s="16" t="s">
        <v>342</v>
      </c>
      <c r="B203" s="17" t="s">
        <v>472</v>
      </c>
      <c r="C203" s="17" t="s">
        <v>455</v>
      </c>
      <c r="D203" s="17" t="s">
        <v>45</v>
      </c>
      <c r="E203" s="17">
        <v>0</v>
      </c>
      <c r="F203" s="18">
        <v>0</v>
      </c>
      <c r="G203" s="18">
        <v>87600.98</v>
      </c>
      <c r="H203" s="18">
        <v>0</v>
      </c>
      <c r="I203" s="30"/>
      <c r="J203" s="30"/>
      <c r="K203" s="30"/>
      <c r="L203" s="30"/>
      <c r="M203" s="30"/>
      <c r="N203" s="30"/>
      <c r="O203" s="30"/>
      <c r="P203" s="30"/>
      <c r="Q203" s="30"/>
      <c r="R203" s="26" t="str">
        <f t="shared" si="34"/>
        <v/>
      </c>
      <c r="S203" s="21" t="str">
        <f t="shared" si="29"/>
        <v/>
      </c>
      <c r="T203" s="21" t="str">
        <f t="shared" si="30"/>
        <v/>
      </c>
      <c r="U203" s="21" t="str">
        <f t="shared" si="31"/>
        <v/>
      </c>
      <c r="V203" s="21" t="str">
        <f t="shared" si="32"/>
        <v/>
      </c>
      <c r="W203" s="30"/>
      <c r="X203" s="30"/>
      <c r="Y203" s="30"/>
      <c r="Z203" s="30"/>
      <c r="AA203" s="30"/>
      <c r="AB203" s="30"/>
      <c r="AC203" s="30"/>
    </row>
    <row r="204" spans="1:29" x14ac:dyDescent="0.25">
      <c r="A204" s="16" t="s">
        <v>343</v>
      </c>
      <c r="B204" s="17" t="s">
        <v>473</v>
      </c>
      <c r="C204" s="17" t="s">
        <v>455</v>
      </c>
      <c r="D204" s="17" t="s">
        <v>45</v>
      </c>
      <c r="E204" s="17">
        <v>0</v>
      </c>
      <c r="F204" s="18">
        <v>0</v>
      </c>
      <c r="G204" s="18">
        <v>87600.98</v>
      </c>
      <c r="H204" s="18">
        <v>0</v>
      </c>
      <c r="I204" s="30"/>
      <c r="J204" s="30"/>
      <c r="K204" s="30"/>
      <c r="L204" s="30"/>
      <c r="M204" s="30"/>
      <c r="N204" s="30"/>
      <c r="O204" s="30"/>
      <c r="P204" s="30"/>
      <c r="Q204" s="30"/>
      <c r="R204" s="26" t="str">
        <f t="shared" si="34"/>
        <v/>
      </c>
      <c r="S204" s="21" t="str">
        <f t="shared" si="29"/>
        <v/>
      </c>
      <c r="T204" s="21" t="str">
        <f t="shared" si="30"/>
        <v/>
      </c>
      <c r="U204" s="21" t="str">
        <f t="shared" si="31"/>
        <v/>
      </c>
      <c r="V204" s="21" t="str">
        <f t="shared" si="32"/>
        <v/>
      </c>
      <c r="W204" s="30"/>
      <c r="X204" s="30"/>
      <c r="Y204" s="30"/>
      <c r="Z204" s="30"/>
      <c r="AA204" s="30"/>
      <c r="AB204" s="30"/>
      <c r="AC204" s="30"/>
    </row>
    <row r="205" spans="1:29" x14ac:dyDescent="0.25">
      <c r="A205" s="16" t="s">
        <v>344</v>
      </c>
      <c r="B205" s="17" t="s">
        <v>474</v>
      </c>
      <c r="C205" s="17" t="s">
        <v>455</v>
      </c>
      <c r="D205" s="17" t="s">
        <v>45</v>
      </c>
      <c r="E205" s="17">
        <v>0</v>
      </c>
      <c r="F205" s="18">
        <v>0</v>
      </c>
      <c r="G205" s="18">
        <v>87600.98</v>
      </c>
      <c r="H205" s="18">
        <v>0</v>
      </c>
      <c r="I205" s="30"/>
      <c r="J205" s="30"/>
      <c r="K205" s="30"/>
      <c r="L205" s="30"/>
      <c r="M205" s="30"/>
      <c r="N205" s="30"/>
      <c r="O205" s="30"/>
      <c r="P205" s="30"/>
      <c r="Q205" s="30"/>
      <c r="R205" s="26" t="str">
        <f t="shared" si="34"/>
        <v/>
      </c>
      <c r="S205" s="21" t="str">
        <f t="shared" si="29"/>
        <v/>
      </c>
      <c r="T205" s="21" t="str">
        <f t="shared" si="30"/>
        <v/>
      </c>
      <c r="U205" s="21" t="str">
        <f t="shared" si="31"/>
        <v/>
      </c>
      <c r="V205" s="21" t="str">
        <f t="shared" si="32"/>
        <v/>
      </c>
      <c r="W205" s="30"/>
      <c r="X205" s="30"/>
      <c r="Y205" s="30"/>
      <c r="Z205" s="30"/>
      <c r="AA205" s="30"/>
      <c r="AB205" s="30"/>
      <c r="AC205" s="30"/>
    </row>
    <row r="206" spans="1:29" x14ac:dyDescent="0.25">
      <c r="A206" s="16" t="s">
        <v>345</v>
      </c>
      <c r="B206" s="17" t="s">
        <v>475</v>
      </c>
      <c r="C206" s="17" t="s">
        <v>455</v>
      </c>
      <c r="D206" s="17" t="s">
        <v>45</v>
      </c>
      <c r="E206" s="17">
        <v>0</v>
      </c>
      <c r="F206" s="18">
        <v>0</v>
      </c>
      <c r="G206" s="18">
        <v>100941.23</v>
      </c>
      <c r="H206" s="18">
        <v>0</v>
      </c>
      <c r="I206" s="30"/>
      <c r="J206" s="30"/>
      <c r="K206" s="30"/>
      <c r="L206" s="30"/>
      <c r="M206" s="30"/>
      <c r="N206" s="30"/>
      <c r="O206" s="30"/>
      <c r="P206" s="30"/>
      <c r="Q206" s="30"/>
      <c r="R206" s="26" t="str">
        <f t="shared" si="34"/>
        <v/>
      </c>
      <c r="S206" s="21" t="str">
        <f t="shared" si="29"/>
        <v/>
      </c>
      <c r="T206" s="21" t="str">
        <f t="shared" si="30"/>
        <v/>
      </c>
      <c r="U206" s="21" t="str">
        <f t="shared" si="31"/>
        <v/>
      </c>
      <c r="V206" s="21" t="str">
        <f t="shared" si="32"/>
        <v/>
      </c>
      <c r="W206" s="30"/>
      <c r="X206" s="30"/>
      <c r="Y206" s="30"/>
      <c r="Z206" s="30"/>
      <c r="AA206" s="30"/>
      <c r="AB206" s="30"/>
      <c r="AC206" s="30"/>
    </row>
    <row r="207" spans="1:29" x14ac:dyDescent="0.25">
      <c r="A207" s="16" t="s">
        <v>346</v>
      </c>
      <c r="B207" s="17" t="s">
        <v>476</v>
      </c>
      <c r="C207" s="17" t="s">
        <v>455</v>
      </c>
      <c r="D207" s="17" t="s">
        <v>45</v>
      </c>
      <c r="E207" s="17">
        <v>0</v>
      </c>
      <c r="F207" s="18">
        <v>0</v>
      </c>
      <c r="G207" s="18">
        <v>100941.23</v>
      </c>
      <c r="H207" s="18">
        <v>0</v>
      </c>
      <c r="I207" s="30"/>
      <c r="J207" s="30"/>
      <c r="K207" s="30"/>
      <c r="L207" s="30"/>
      <c r="M207" s="30"/>
      <c r="N207" s="30"/>
      <c r="O207" s="30"/>
      <c r="P207" s="30"/>
      <c r="Q207" s="30"/>
      <c r="R207" s="26" t="str">
        <f t="shared" si="34"/>
        <v/>
      </c>
      <c r="S207" s="21" t="str">
        <f t="shared" si="29"/>
        <v/>
      </c>
      <c r="T207" s="21" t="str">
        <f t="shared" si="30"/>
        <v/>
      </c>
      <c r="U207" s="21" t="str">
        <f t="shared" si="31"/>
        <v/>
      </c>
      <c r="V207" s="21" t="str">
        <f t="shared" si="32"/>
        <v/>
      </c>
      <c r="W207" s="30"/>
      <c r="X207" s="30"/>
      <c r="Y207" s="30"/>
      <c r="Z207" s="30"/>
      <c r="AA207" s="30"/>
      <c r="AB207" s="30"/>
      <c r="AC207" s="30"/>
    </row>
    <row r="208" spans="1:29" x14ac:dyDescent="0.25">
      <c r="A208" s="16" t="s">
        <v>347</v>
      </c>
      <c r="B208" s="17" t="s">
        <v>477</v>
      </c>
      <c r="C208" s="17" t="s">
        <v>455</v>
      </c>
      <c r="D208" s="17" t="s">
        <v>45</v>
      </c>
      <c r="E208" s="17">
        <v>0</v>
      </c>
      <c r="F208" s="18">
        <v>0</v>
      </c>
      <c r="G208" s="18">
        <v>100941.23</v>
      </c>
      <c r="H208" s="18">
        <v>0</v>
      </c>
      <c r="I208" s="30"/>
      <c r="J208" s="30"/>
      <c r="K208" s="30"/>
      <c r="L208" s="30"/>
      <c r="M208" s="30"/>
      <c r="N208" s="30"/>
      <c r="O208" s="30"/>
      <c r="P208" s="30"/>
      <c r="Q208" s="30"/>
      <c r="R208" s="26" t="str">
        <f t="shared" si="34"/>
        <v/>
      </c>
      <c r="S208" s="21" t="str">
        <f t="shared" si="29"/>
        <v/>
      </c>
      <c r="T208" s="21" t="str">
        <f t="shared" si="30"/>
        <v/>
      </c>
      <c r="U208" s="21" t="str">
        <f t="shared" si="31"/>
        <v/>
      </c>
      <c r="V208" s="21" t="str">
        <f t="shared" si="32"/>
        <v/>
      </c>
      <c r="W208" s="30"/>
      <c r="X208" s="30"/>
      <c r="Y208" s="30"/>
      <c r="Z208" s="30"/>
      <c r="AA208" s="30"/>
      <c r="AB208" s="30"/>
      <c r="AC208" s="30"/>
    </row>
    <row r="209" spans="1:29" x14ac:dyDescent="0.25">
      <c r="A209" s="16" t="s">
        <v>348</v>
      </c>
      <c r="B209" s="17" t="s">
        <v>478</v>
      </c>
      <c r="C209" s="17" t="s">
        <v>455</v>
      </c>
      <c r="D209" s="17" t="s">
        <v>45</v>
      </c>
      <c r="E209" s="17">
        <v>0</v>
      </c>
      <c r="F209" s="18">
        <v>0</v>
      </c>
      <c r="G209" s="18">
        <v>100941.23</v>
      </c>
      <c r="H209" s="18">
        <v>0</v>
      </c>
      <c r="I209" s="30"/>
      <c r="J209" s="30"/>
      <c r="K209" s="30"/>
      <c r="L209" s="30"/>
      <c r="M209" s="30"/>
      <c r="N209" s="30"/>
      <c r="O209" s="30"/>
      <c r="P209" s="30"/>
      <c r="Q209" s="30"/>
      <c r="R209" s="26" t="str">
        <f t="shared" si="34"/>
        <v/>
      </c>
      <c r="S209" s="21" t="str">
        <f t="shared" si="29"/>
        <v/>
      </c>
      <c r="T209" s="21" t="str">
        <f t="shared" si="30"/>
        <v/>
      </c>
      <c r="U209" s="21" t="str">
        <f t="shared" si="31"/>
        <v/>
      </c>
      <c r="V209" s="21" t="str">
        <f t="shared" si="32"/>
        <v/>
      </c>
      <c r="W209" s="30"/>
      <c r="X209" s="30"/>
      <c r="Y209" s="30"/>
      <c r="Z209" s="30"/>
      <c r="AA209" s="30"/>
      <c r="AB209" s="30"/>
      <c r="AC209" s="30"/>
    </row>
    <row r="210" spans="1:29" x14ac:dyDescent="0.25">
      <c r="A210" s="16" t="s">
        <v>349</v>
      </c>
      <c r="B210" s="17" t="s">
        <v>479</v>
      </c>
      <c r="C210" s="17" t="s">
        <v>455</v>
      </c>
      <c r="D210" s="17" t="s">
        <v>45</v>
      </c>
      <c r="E210" s="17">
        <v>0</v>
      </c>
      <c r="F210" s="18">
        <v>0</v>
      </c>
      <c r="G210" s="18">
        <v>114281.48</v>
      </c>
      <c r="H210" s="18">
        <v>0</v>
      </c>
      <c r="I210" s="30"/>
      <c r="J210" s="30"/>
      <c r="K210" s="30"/>
      <c r="L210" s="30"/>
      <c r="M210" s="30"/>
      <c r="N210" s="30"/>
      <c r="O210" s="30"/>
      <c r="P210" s="30"/>
      <c r="Q210" s="30"/>
      <c r="R210" s="26" t="str">
        <f t="shared" si="34"/>
        <v/>
      </c>
      <c r="S210" s="21" t="str">
        <f t="shared" si="29"/>
        <v/>
      </c>
      <c r="T210" s="21" t="str">
        <f t="shared" si="30"/>
        <v/>
      </c>
      <c r="U210" s="21" t="str">
        <f t="shared" si="31"/>
        <v/>
      </c>
      <c r="V210" s="21" t="str">
        <f t="shared" si="32"/>
        <v/>
      </c>
      <c r="W210" s="30"/>
      <c r="X210" s="30"/>
      <c r="Y210" s="30"/>
      <c r="Z210" s="30"/>
      <c r="AA210" s="30"/>
      <c r="AB210" s="30"/>
      <c r="AC210" s="30"/>
    </row>
    <row r="211" spans="1:29" x14ac:dyDescent="0.25">
      <c r="A211" s="16" t="s">
        <v>350</v>
      </c>
      <c r="B211" s="17" t="s">
        <v>480</v>
      </c>
      <c r="C211" s="17" t="s">
        <v>455</v>
      </c>
      <c r="D211" s="17" t="s">
        <v>45</v>
      </c>
      <c r="E211" s="17">
        <v>0</v>
      </c>
      <c r="F211" s="18">
        <v>0</v>
      </c>
      <c r="G211" s="18">
        <v>114281.48</v>
      </c>
      <c r="H211" s="18">
        <v>0</v>
      </c>
      <c r="I211" s="30"/>
      <c r="J211" s="30"/>
      <c r="K211" s="30"/>
      <c r="L211" s="30"/>
      <c r="M211" s="30"/>
      <c r="N211" s="30"/>
      <c r="O211" s="30"/>
      <c r="P211" s="30"/>
      <c r="Q211" s="30"/>
      <c r="R211" s="26" t="str">
        <f t="shared" si="34"/>
        <v/>
      </c>
      <c r="S211" s="21" t="str">
        <f t="shared" si="29"/>
        <v/>
      </c>
      <c r="T211" s="21" t="str">
        <f t="shared" si="30"/>
        <v/>
      </c>
      <c r="U211" s="21" t="str">
        <f t="shared" si="31"/>
        <v/>
      </c>
      <c r="V211" s="21" t="str">
        <f t="shared" si="32"/>
        <v/>
      </c>
      <c r="W211" s="30"/>
      <c r="X211" s="30"/>
      <c r="Y211" s="30"/>
      <c r="Z211" s="30"/>
      <c r="AA211" s="30"/>
      <c r="AB211" s="30"/>
      <c r="AC211" s="30"/>
    </row>
    <row r="212" spans="1:29" x14ac:dyDescent="0.25">
      <c r="A212" s="16" t="s">
        <v>351</v>
      </c>
      <c r="B212" s="17" t="s">
        <v>481</v>
      </c>
      <c r="C212" s="17" t="s">
        <v>455</v>
      </c>
      <c r="D212" s="17" t="s">
        <v>45</v>
      </c>
      <c r="E212" s="17">
        <v>0</v>
      </c>
      <c r="F212" s="18">
        <v>0</v>
      </c>
      <c r="G212" s="18">
        <v>114281.48</v>
      </c>
      <c r="H212" s="18">
        <v>0</v>
      </c>
      <c r="I212" s="30"/>
      <c r="J212" s="30"/>
      <c r="K212" s="30"/>
      <c r="L212" s="30"/>
      <c r="M212" s="30"/>
      <c r="N212" s="30"/>
      <c r="O212" s="30"/>
      <c r="P212" s="30"/>
      <c r="Q212" s="30"/>
      <c r="R212" s="26" t="str">
        <f t="shared" si="34"/>
        <v/>
      </c>
      <c r="S212" s="21" t="str">
        <f t="shared" si="29"/>
        <v/>
      </c>
      <c r="T212" s="21" t="str">
        <f t="shared" si="30"/>
        <v/>
      </c>
      <c r="U212" s="21" t="str">
        <f t="shared" si="31"/>
        <v/>
      </c>
      <c r="V212" s="21" t="str">
        <f t="shared" si="32"/>
        <v/>
      </c>
      <c r="W212" s="30"/>
      <c r="X212" s="30"/>
      <c r="Y212" s="30"/>
      <c r="Z212" s="30"/>
      <c r="AA212" s="30"/>
      <c r="AB212" s="30"/>
      <c r="AC212" s="30"/>
    </row>
    <row r="213" spans="1:29" x14ac:dyDescent="0.25">
      <c r="A213" s="16" t="s">
        <v>352</v>
      </c>
      <c r="B213" s="17" t="s">
        <v>482</v>
      </c>
      <c r="C213" s="17" t="s">
        <v>455</v>
      </c>
      <c r="D213" s="17" t="s">
        <v>45</v>
      </c>
      <c r="E213" s="17">
        <v>0</v>
      </c>
      <c r="F213" s="18">
        <v>0</v>
      </c>
      <c r="G213" s="18">
        <v>114281.48</v>
      </c>
      <c r="H213" s="18">
        <v>0</v>
      </c>
      <c r="I213" s="30"/>
      <c r="J213" s="30"/>
      <c r="K213" s="30"/>
      <c r="L213" s="30"/>
      <c r="M213" s="30"/>
      <c r="N213" s="30"/>
      <c r="O213" s="30"/>
      <c r="P213" s="30"/>
      <c r="Q213" s="30"/>
      <c r="R213" s="26" t="str">
        <f t="shared" si="34"/>
        <v/>
      </c>
      <c r="S213" s="21" t="str">
        <f t="shared" si="29"/>
        <v/>
      </c>
      <c r="T213" s="21" t="str">
        <f t="shared" si="30"/>
        <v/>
      </c>
      <c r="U213" s="21" t="str">
        <f t="shared" si="31"/>
        <v/>
      </c>
      <c r="V213" s="21" t="str">
        <f t="shared" si="32"/>
        <v/>
      </c>
      <c r="W213" s="30"/>
      <c r="X213" s="30"/>
      <c r="Y213" s="30"/>
      <c r="Z213" s="30"/>
      <c r="AA213" s="30"/>
      <c r="AB213" s="30"/>
      <c r="AC213" s="30"/>
    </row>
    <row r="214" spans="1:29" x14ac:dyDescent="0.25">
      <c r="A214" s="16" t="s">
        <v>354</v>
      </c>
      <c r="B214" s="17" t="s">
        <v>483</v>
      </c>
      <c r="C214" s="17" t="s">
        <v>455</v>
      </c>
      <c r="D214" s="17" t="s">
        <v>353</v>
      </c>
      <c r="E214" s="17">
        <v>0</v>
      </c>
      <c r="F214" s="18">
        <v>969.50857091759985</v>
      </c>
      <c r="G214" s="18">
        <v>999.5785709175999</v>
      </c>
      <c r="H214" s="18">
        <v>1111.7012318351999</v>
      </c>
      <c r="I214" s="30"/>
      <c r="J214" s="30"/>
      <c r="K214" s="30"/>
      <c r="L214" s="30"/>
      <c r="M214" s="30"/>
      <c r="N214" s="30"/>
      <c r="O214" s="30"/>
      <c r="P214" s="30"/>
      <c r="Q214" s="30"/>
      <c r="R214" s="26" t="str">
        <f t="shared" si="34"/>
        <v/>
      </c>
      <c r="S214" s="21" t="str">
        <f t="shared" si="29"/>
        <v/>
      </c>
      <c r="T214" s="21" t="str">
        <f t="shared" si="30"/>
        <v/>
      </c>
      <c r="U214" s="21" t="str">
        <f t="shared" si="31"/>
        <v/>
      </c>
      <c r="V214" s="21" t="str">
        <f t="shared" si="32"/>
        <v/>
      </c>
      <c r="W214" s="30"/>
      <c r="X214" s="30"/>
      <c r="Y214" s="30"/>
      <c r="Z214" s="30"/>
      <c r="AA214" s="30"/>
      <c r="AB214" s="30"/>
      <c r="AC214" s="30"/>
    </row>
    <row r="215" spans="1:29" x14ac:dyDescent="0.25">
      <c r="A215" s="16" t="s">
        <v>355</v>
      </c>
      <c r="B215" s="17" t="s">
        <v>484</v>
      </c>
      <c r="C215" s="17" t="s">
        <v>455</v>
      </c>
      <c r="D215" s="17" t="s">
        <v>353</v>
      </c>
      <c r="E215" s="17">
        <v>0</v>
      </c>
      <c r="F215" s="18">
        <v>1047.6966372006</v>
      </c>
      <c r="G215" s="18">
        <v>1080.1916372006001</v>
      </c>
      <c r="H215" s="18">
        <v>1201.3583394011998</v>
      </c>
      <c r="I215" s="30"/>
      <c r="J215" s="30"/>
      <c r="K215" s="30"/>
      <c r="L215" s="30"/>
      <c r="M215" s="30"/>
      <c r="N215" s="30"/>
      <c r="O215" s="30"/>
      <c r="P215" s="30"/>
      <c r="Q215" s="30"/>
      <c r="R215" s="26" t="str">
        <f t="shared" si="34"/>
        <v/>
      </c>
      <c r="S215" s="21" t="str">
        <f t="shared" si="29"/>
        <v/>
      </c>
      <c r="T215" s="21" t="str">
        <f t="shared" si="30"/>
        <v/>
      </c>
      <c r="U215" s="21" t="str">
        <f t="shared" si="31"/>
        <v/>
      </c>
      <c r="V215" s="21" t="str">
        <f t="shared" si="32"/>
        <v/>
      </c>
      <c r="W215" s="30"/>
      <c r="X215" s="30"/>
      <c r="Y215" s="30"/>
      <c r="Z215" s="30"/>
      <c r="AA215" s="30"/>
      <c r="AB215" s="30"/>
      <c r="AC215" s="30"/>
    </row>
    <row r="216" spans="1:29" x14ac:dyDescent="0.25">
      <c r="A216" s="16" t="s">
        <v>356</v>
      </c>
      <c r="B216" s="17" t="s">
        <v>520</v>
      </c>
      <c r="C216" s="17" t="s">
        <v>455</v>
      </c>
      <c r="D216" s="17" t="s">
        <v>353</v>
      </c>
      <c r="E216" s="17">
        <v>0</v>
      </c>
      <c r="F216" s="18">
        <v>234.55454521500002</v>
      </c>
      <c r="G216" s="18">
        <v>241.82954521500002</v>
      </c>
      <c r="H216" s="18">
        <v>268.95201543000002</v>
      </c>
      <c r="I216" s="30"/>
      <c r="J216" s="30"/>
      <c r="K216" s="30"/>
      <c r="L216" s="30"/>
      <c r="M216" s="30"/>
      <c r="N216" s="30"/>
      <c r="O216" s="30"/>
      <c r="P216" s="30"/>
      <c r="Q216" s="30"/>
      <c r="R216" s="26" t="str">
        <f t="shared" si="34"/>
        <v/>
      </c>
      <c r="S216" s="21" t="str">
        <f t="shared" si="29"/>
        <v/>
      </c>
      <c r="T216" s="21" t="str">
        <f t="shared" si="30"/>
        <v/>
      </c>
      <c r="U216" s="21" t="str">
        <f t="shared" si="31"/>
        <v/>
      </c>
      <c r="V216" s="21" t="str">
        <f t="shared" si="32"/>
        <v/>
      </c>
      <c r="W216" s="30"/>
      <c r="X216" s="30"/>
      <c r="Y216" s="30"/>
      <c r="Z216" s="30"/>
      <c r="AA216" s="30"/>
      <c r="AB216" s="30"/>
      <c r="AC216" s="30"/>
    </row>
    <row r="217" spans="1:29" x14ac:dyDescent="0.25">
      <c r="A217" s="106" t="s">
        <v>436</v>
      </c>
      <c r="B217" s="72" t="s">
        <v>412</v>
      </c>
      <c r="C217" s="17" t="s">
        <v>40</v>
      </c>
      <c r="D217" s="72" t="s">
        <v>61</v>
      </c>
      <c r="E217" s="72"/>
      <c r="F217" s="107">
        <f>310*1.7*9.8-300</f>
        <v>4864.6000000000004</v>
      </c>
      <c r="G217" s="107">
        <f>310*1.7*9.8</f>
        <v>5164.6000000000004</v>
      </c>
      <c r="H217" s="107">
        <f>310*1.7*9.8+300</f>
        <v>5464.6</v>
      </c>
      <c r="I217" s="30"/>
      <c r="J217" s="30"/>
      <c r="K217" s="30"/>
      <c r="L217" s="30"/>
      <c r="M217" s="30"/>
      <c r="N217" s="30"/>
      <c r="O217" s="30"/>
      <c r="P217" s="30"/>
      <c r="Q217" s="30"/>
      <c r="R217" s="26" t="str">
        <f t="shared" si="34"/>
        <v/>
      </c>
      <c r="S217" s="21" t="str">
        <f t="shared" si="29"/>
        <v/>
      </c>
      <c r="T217" s="21" t="str">
        <f t="shared" si="30"/>
        <v/>
      </c>
      <c r="U217" s="21" t="str">
        <f t="shared" si="31"/>
        <v/>
      </c>
      <c r="V217" s="21" t="str">
        <f t="shared" si="32"/>
        <v/>
      </c>
      <c r="W217" s="30"/>
      <c r="X217" s="30"/>
      <c r="Y217" s="30"/>
      <c r="Z217" s="30"/>
      <c r="AA217" s="102" t="str">
        <f>IF(O2="OUI",1,"")</f>
        <v/>
      </c>
      <c r="AB217" s="30"/>
    </row>
    <row r="218" spans="1:29" x14ac:dyDescent="0.25">
      <c r="A218" s="106" t="s">
        <v>437</v>
      </c>
      <c r="B218" s="72" t="s">
        <v>411</v>
      </c>
      <c r="C218" s="17" t="s">
        <v>40</v>
      </c>
      <c r="D218" s="72" t="s">
        <v>61</v>
      </c>
      <c r="E218" s="72"/>
      <c r="F218" s="107">
        <f>20*9.8*1.7</f>
        <v>333.2</v>
      </c>
      <c r="G218" s="107">
        <f>20*9.8*1.75</f>
        <v>343</v>
      </c>
      <c r="H218" s="107">
        <f>20*9.8*1.75+30</f>
        <v>373</v>
      </c>
      <c r="I218" s="30"/>
      <c r="J218" s="30"/>
      <c r="K218" s="30"/>
      <c r="L218" s="30"/>
      <c r="M218" s="30"/>
      <c r="N218" s="30"/>
      <c r="O218" s="30"/>
      <c r="P218" s="30"/>
      <c r="Q218" s="30"/>
      <c r="R218" s="26" t="str">
        <f t="shared" si="34"/>
        <v/>
      </c>
      <c r="S218" s="21" t="str">
        <f t="shared" si="29"/>
        <v/>
      </c>
      <c r="T218" s="21" t="str">
        <f t="shared" si="30"/>
        <v/>
      </c>
      <c r="U218" s="21" t="str">
        <f t="shared" si="31"/>
        <v/>
      </c>
      <c r="V218" s="21" t="str">
        <f t="shared" si="32"/>
        <v/>
      </c>
      <c r="W218" s="30"/>
      <c r="X218" s="30"/>
      <c r="Y218" s="30"/>
      <c r="Z218" s="30"/>
      <c r="AA218" s="102" t="str">
        <f>IF(O2="OUI",H2,"")</f>
        <v/>
      </c>
      <c r="AB218" s="30"/>
    </row>
    <row r="219" spans="1:29" x14ac:dyDescent="0.25">
      <c r="A219" s="106" t="s">
        <v>448</v>
      </c>
      <c r="B219" s="72" t="s">
        <v>447</v>
      </c>
      <c r="C219" s="17" t="s">
        <v>34</v>
      </c>
      <c r="D219" s="72" t="s">
        <v>61</v>
      </c>
      <c r="E219" s="72"/>
      <c r="F219" s="30">
        <f>325*1.7*9.8-200</f>
        <v>5214.5</v>
      </c>
      <c r="G219" s="30">
        <f>325*1.75*9.8</f>
        <v>5573.75</v>
      </c>
      <c r="H219" s="30">
        <f>325*1.75*9.8</f>
        <v>5573.75</v>
      </c>
      <c r="I219" s="30"/>
      <c r="J219" s="30"/>
      <c r="K219" s="30"/>
      <c r="L219" s="30"/>
      <c r="M219" s="30"/>
      <c r="N219" s="30"/>
      <c r="O219" s="30"/>
      <c r="P219" s="30"/>
      <c r="Q219" s="30"/>
      <c r="R219" s="26" t="str">
        <f t="shared" si="34"/>
        <v/>
      </c>
      <c r="S219" s="21" t="str">
        <f t="shared" si="29"/>
        <v/>
      </c>
      <c r="T219" s="21" t="str">
        <f t="shared" si="30"/>
        <v/>
      </c>
      <c r="U219" s="21" t="str">
        <f t="shared" si="31"/>
        <v/>
      </c>
      <c r="V219" s="21" t="str">
        <f t="shared" si="32"/>
        <v/>
      </c>
      <c r="W219" s="30"/>
      <c r="X219" s="30"/>
      <c r="Y219" s="30"/>
      <c r="Z219" s="30"/>
      <c r="AA219" s="30"/>
      <c r="AB219" s="30"/>
      <c r="AC219" s="102" t="str">
        <f>IF(L2="SEMI",1,"")</f>
        <v/>
      </c>
    </row>
    <row r="220" spans="1:29" x14ac:dyDescent="0.25">
      <c r="A220" s="106" t="s">
        <v>449</v>
      </c>
      <c r="B220" s="72" t="s">
        <v>446</v>
      </c>
      <c r="C220" s="72" t="s">
        <v>34</v>
      </c>
      <c r="D220" s="72" t="s">
        <v>61</v>
      </c>
      <c r="E220" s="72"/>
      <c r="F220" s="30">
        <f>50*1.65*9.8</f>
        <v>808.50000000000011</v>
      </c>
      <c r="G220" s="30">
        <f>50*1.7*9.8</f>
        <v>833.00000000000011</v>
      </c>
      <c r="H220" s="30">
        <f>50*1.7*9.8</f>
        <v>833.00000000000011</v>
      </c>
      <c r="I220" s="30"/>
      <c r="J220" s="30"/>
      <c r="K220" s="30"/>
      <c r="L220" s="30"/>
      <c r="M220" s="30"/>
      <c r="N220" s="30"/>
      <c r="O220" s="30"/>
      <c r="P220" s="30"/>
      <c r="Q220" s="30"/>
      <c r="R220" s="26" t="str">
        <f t="shared" si="34"/>
        <v/>
      </c>
      <c r="S220" s="21" t="str">
        <f t="shared" si="29"/>
        <v/>
      </c>
      <c r="T220" s="21" t="str">
        <f t="shared" si="30"/>
        <v/>
      </c>
      <c r="U220" s="21" t="str">
        <f t="shared" si="31"/>
        <v/>
      </c>
      <c r="V220" s="21" t="str">
        <f t="shared" si="32"/>
        <v/>
      </c>
      <c r="W220" s="30"/>
      <c r="X220" s="30"/>
      <c r="Y220" s="30"/>
      <c r="Z220" s="30"/>
      <c r="AA220" s="30"/>
      <c r="AB220" s="30"/>
      <c r="AC220" s="102" t="str">
        <f>IF(L2="SEMI",1,"")</f>
        <v/>
      </c>
    </row>
    <row r="221" spans="1:29" x14ac:dyDescent="0.25">
      <c r="B221" s="72"/>
      <c r="C221" s="72"/>
      <c r="D221" s="72"/>
      <c r="E221" s="72"/>
      <c r="F221" s="30"/>
      <c r="G221" s="30"/>
      <c r="H221" s="30"/>
      <c r="I221" s="30"/>
      <c r="J221" s="30"/>
      <c r="K221" s="30"/>
      <c r="L221" s="30"/>
      <c r="M221" s="30"/>
      <c r="N221" s="30"/>
      <c r="O221" s="30"/>
      <c r="P221" s="30"/>
      <c r="Q221" s="30"/>
      <c r="R221" s="26"/>
      <c r="S221" s="21"/>
      <c r="T221" s="21"/>
      <c r="U221" s="21"/>
      <c r="V221" s="21"/>
      <c r="W221" s="30"/>
      <c r="X221" s="30"/>
      <c r="Y221" s="30"/>
      <c r="Z221" s="30"/>
      <c r="AA221" s="30"/>
      <c r="AB221" s="30"/>
      <c r="AC221" s="30"/>
    </row>
    <row r="222" spans="1:29" x14ac:dyDescent="0.25">
      <c r="B222" s="72"/>
      <c r="C222" s="72"/>
      <c r="D222" s="72"/>
      <c r="E222" s="72"/>
      <c r="F222" s="30"/>
      <c r="G222" s="30"/>
      <c r="H222" s="30"/>
      <c r="I222" s="30"/>
      <c r="J222" s="30"/>
      <c r="K222" s="30"/>
      <c r="L222" s="30"/>
      <c r="M222" s="30"/>
      <c r="N222" s="30"/>
      <c r="O222" s="30"/>
      <c r="P222" s="30"/>
      <c r="Q222" s="30"/>
      <c r="R222" s="26"/>
      <c r="S222" s="21"/>
      <c r="T222" s="21"/>
      <c r="U222" s="21"/>
      <c r="V222" s="21"/>
      <c r="W222" s="30"/>
      <c r="X222" s="30"/>
      <c r="Y222" s="30"/>
      <c r="Z222" s="30"/>
      <c r="AA222" s="30"/>
      <c r="AB222" s="30"/>
      <c r="AC222" s="30"/>
    </row>
    <row r="223" spans="1:29" x14ac:dyDescent="0.25">
      <c r="B223" s="72"/>
      <c r="C223" s="72"/>
      <c r="D223" s="72"/>
      <c r="E223" s="72"/>
      <c r="F223" s="30"/>
      <c r="G223" s="30"/>
      <c r="H223" s="30"/>
      <c r="I223" s="30"/>
      <c r="J223" s="30"/>
      <c r="K223" s="30"/>
      <c r="L223" s="30"/>
      <c r="M223" s="30"/>
      <c r="N223" s="30"/>
      <c r="O223" s="30"/>
      <c r="P223" s="30"/>
      <c r="Q223" s="30"/>
      <c r="R223" s="26"/>
      <c r="S223" s="21"/>
      <c r="T223" s="21"/>
      <c r="U223" s="21"/>
      <c r="V223" s="21"/>
      <c r="W223" s="30"/>
      <c r="X223" s="30"/>
      <c r="Y223" s="30"/>
      <c r="Z223" s="30"/>
      <c r="AA223" s="30"/>
      <c r="AB223" s="30"/>
      <c r="AC223" s="30"/>
    </row>
    <row r="224" spans="1:29" x14ac:dyDescent="0.25">
      <c r="B224" s="72"/>
      <c r="C224" s="72"/>
      <c r="D224" s="72"/>
      <c r="E224" s="72"/>
      <c r="F224" s="30"/>
      <c r="G224" s="30"/>
      <c r="H224" s="30"/>
      <c r="I224" s="30"/>
      <c r="J224" s="30"/>
      <c r="K224" s="30"/>
      <c r="L224" s="30"/>
      <c r="M224" s="30"/>
      <c r="N224" s="30"/>
      <c r="O224" s="30"/>
      <c r="P224" s="30"/>
      <c r="Q224" s="30"/>
      <c r="R224" s="26"/>
      <c r="S224" s="21"/>
      <c r="T224" s="21"/>
      <c r="U224" s="21"/>
      <c r="V224" s="21"/>
      <c r="W224" s="30"/>
      <c r="X224" s="30"/>
      <c r="Y224" s="30"/>
      <c r="Z224" s="30"/>
      <c r="AA224" s="30"/>
      <c r="AB224" s="30"/>
      <c r="AC224" s="30"/>
    </row>
    <row r="225" spans="2:29" x14ac:dyDescent="0.25">
      <c r="B225" s="72"/>
      <c r="C225" s="72"/>
      <c r="D225" s="72"/>
      <c r="E225" s="72"/>
      <c r="F225" s="30"/>
      <c r="G225" s="30"/>
      <c r="H225" s="30"/>
      <c r="I225" s="30"/>
      <c r="J225" s="30"/>
      <c r="K225" s="30"/>
      <c r="L225" s="30"/>
      <c r="M225" s="30"/>
      <c r="N225" s="30"/>
      <c r="O225" s="30"/>
      <c r="P225" s="30"/>
      <c r="Q225" s="30"/>
      <c r="R225" s="26" t="str">
        <f t="shared" si="34"/>
        <v/>
      </c>
      <c r="S225" s="21" t="str">
        <f t="shared" si="29"/>
        <v/>
      </c>
      <c r="T225" s="21" t="str">
        <f t="shared" si="30"/>
        <v/>
      </c>
      <c r="U225" s="21" t="str">
        <f t="shared" si="31"/>
        <v/>
      </c>
      <c r="V225" s="21" t="str">
        <f t="shared" si="32"/>
        <v/>
      </c>
      <c r="W225" s="30"/>
      <c r="X225" s="30"/>
      <c r="Y225" s="30"/>
      <c r="Z225" s="30"/>
      <c r="AA225" s="30"/>
      <c r="AB225" s="30"/>
      <c r="AC225" s="30"/>
    </row>
    <row r="226" spans="2:29" x14ac:dyDescent="0.25">
      <c r="B226" s="72"/>
      <c r="C226" s="72"/>
      <c r="D226" s="72"/>
      <c r="E226" s="72"/>
      <c r="F226" s="30"/>
      <c r="G226" s="30"/>
      <c r="H226" s="30"/>
      <c r="I226" s="30"/>
      <c r="J226" s="30"/>
      <c r="K226" s="30"/>
      <c r="L226" s="30"/>
      <c r="M226" s="30"/>
      <c r="N226" s="30"/>
      <c r="O226" s="30"/>
      <c r="P226" s="30"/>
      <c r="Q226" s="30"/>
      <c r="R226" s="26" t="str">
        <f t="shared" si="34"/>
        <v/>
      </c>
      <c r="S226" s="21" t="str">
        <f t="shared" si="29"/>
        <v/>
      </c>
      <c r="T226" s="21" t="str">
        <f t="shared" si="30"/>
        <v/>
      </c>
      <c r="U226" s="21" t="str">
        <f t="shared" si="31"/>
        <v/>
      </c>
      <c r="V226" s="21" t="str">
        <f t="shared" si="32"/>
        <v/>
      </c>
      <c r="W226" s="30"/>
      <c r="X226" s="30"/>
      <c r="Y226" s="30"/>
      <c r="Z226" s="30"/>
      <c r="AA226" s="30"/>
      <c r="AB226" s="30"/>
      <c r="AC226" s="30"/>
    </row>
    <row r="227" spans="2:29" x14ac:dyDescent="0.25">
      <c r="W227" s="30"/>
      <c r="X227" s="30"/>
      <c r="Y227" s="30"/>
      <c r="Z227" s="30"/>
      <c r="AA227" s="30"/>
      <c r="AB227" s="30"/>
      <c r="AC227" s="30"/>
    </row>
    <row r="228" spans="2:29" x14ac:dyDescent="0.25">
      <c r="W228" s="30"/>
      <c r="X228" s="30"/>
      <c r="Y228" s="30"/>
      <c r="Z228" s="30"/>
      <c r="AA228" s="30"/>
      <c r="AB228" s="30"/>
      <c r="AC228" s="30"/>
    </row>
    <row r="229" spans="2:29" x14ac:dyDescent="0.25">
      <c r="W229" s="30"/>
      <c r="X229" s="30"/>
      <c r="Y229" s="30"/>
      <c r="Z229" s="30"/>
      <c r="AA229" s="30"/>
      <c r="AB229" s="30"/>
      <c r="AC229" s="30"/>
    </row>
    <row r="230" spans="2:29" x14ac:dyDescent="0.25">
      <c r="W230" s="30"/>
      <c r="X230" s="30"/>
      <c r="Y230" s="30"/>
      <c r="Z230" s="30"/>
      <c r="AA230" s="30"/>
      <c r="AB230" s="30"/>
      <c r="AC230" s="30"/>
    </row>
    <row r="231" spans="2:29" x14ac:dyDescent="0.25">
      <c r="W231" s="30"/>
      <c r="X231" s="30"/>
      <c r="Y231" s="30"/>
      <c r="Z231" s="30"/>
      <c r="AA231" s="30"/>
      <c r="AB231" s="30"/>
      <c r="AC231" s="30"/>
    </row>
    <row r="232" spans="2:29" x14ac:dyDescent="0.25">
      <c r="W232" s="30"/>
      <c r="X232" s="30"/>
      <c r="Y232" s="30"/>
      <c r="Z232" s="30"/>
      <c r="AA232" s="30"/>
      <c r="AB232" s="30"/>
      <c r="AC232" s="30"/>
    </row>
    <row r="233" spans="2:29" x14ac:dyDescent="0.25">
      <c r="W233" s="30"/>
      <c r="X233" s="30"/>
      <c r="Y233" s="30"/>
      <c r="Z233" s="30"/>
      <c r="AA233" s="30"/>
      <c r="AB233" s="30"/>
      <c r="AC233" s="30"/>
    </row>
  </sheetData>
  <autoFilter ref="A10:AC216" xr:uid="{B52E3BBE-CF22-436C-A26D-E53F280B670C}"/>
  <phoneticPr fontId="15" type="noConversion"/>
  <dataValidations count="14">
    <dataValidation type="list" allowBlank="1" showInputMessage="1" showErrorMessage="1" sqref="G3" xr:uid="{A8B5E7E4-0660-4ABF-81D8-8445D30C961E}">
      <formula1>"Avec det,Sans det"</formula1>
    </dataValidation>
    <dataValidation type="list" allowBlank="1" showInputMessage="1" showErrorMessage="1" sqref="F3" xr:uid="{F5474194-AE42-4619-85C9-B2E5894B3BB0}">
      <formula1>"Ascenseur Complet,Pièces"</formula1>
    </dataValidation>
    <dataValidation type="list" allowBlank="1" showInputMessage="1" showErrorMessage="1" sqref="J2" xr:uid="{EF85A9AE-9203-458C-BEC3-7714938DA0B2}">
      <formula1>"FERMATOR,ATERYA,DEAS"</formula1>
    </dataValidation>
    <dataValidation type="list" allowBlank="1" showInputMessage="1" showErrorMessage="1" sqref="G2" xr:uid="{B83F2E87-F425-46F8-A8BB-60A1068FC604}">
      <formula1>"4,5,6,7,8,9,10,11,12"</formula1>
    </dataValidation>
    <dataValidation type="list" allowBlank="1" showInputMessage="1" showErrorMessage="1" sqref="H2" xr:uid="{3D419DFC-BFA9-4DBE-83E3-5F03D47E40CA}">
      <formula1>"2,3,4,5,6,7,8,9,10,11"</formula1>
    </dataValidation>
    <dataValidation type="list" allowBlank="1" showInputMessage="1" showErrorMessage="1" sqref="I2" xr:uid="{A08DE9CE-2DB0-4AC8-9E61-178D44A7AADC}">
      <formula1>"GEM,MONTANARI,PRIMO,AKİŞ,GMV,STANDARD"</formula1>
    </dataValidation>
    <dataValidation type="list" allowBlank="1" showInputMessage="1" showErrorMessage="1" sqref="K2" xr:uid="{31C37997-4E2E-4172-B9CC-BAC16AAD9FB1}">
      <formula1>"EPOXY,INOX,PANORAMIQUE"</formula1>
    </dataValidation>
    <dataValidation type="list" allowBlank="1" showInputMessage="1" showErrorMessage="1" sqref="F2" xr:uid="{22AF6621-9C41-415D-B26E-BCF857ABFC0C}">
      <formula1>"2V,GEARLESS,VVVF,HYDRAULIQUE"</formula1>
    </dataValidation>
    <dataValidation type="list" allowBlank="1" showInputMessage="1" showErrorMessage="1" sqref="E3:E4" xr:uid="{B15B2BF2-7B33-4BA4-A093-7A9269D078F0}">
      <formula1>"min,normal,stock"</formula1>
    </dataValidation>
    <dataValidation type="list" allowBlank="1" showInputMessage="1" showErrorMessage="1" sqref="L2" xr:uid="{B032A819-8A3F-4631-827E-16342D4098F2}">
      <formula1>"SEMI,AUTOMATIQUE"</formula1>
    </dataValidation>
    <dataValidation type="list" allowBlank="1" showInputMessage="1" showErrorMessage="1" sqref="M2" xr:uid="{A40F73F1-3F76-4580-A7EB-E22C42369F39}">
      <formula1>"60,70,80,90"</formula1>
    </dataValidation>
    <dataValidation type="list" allowBlank="1" showInputMessage="1" showErrorMessage="1" sqref="F4" xr:uid="{3E139DDD-0DC1-4E45-8953-0422222A841C}">
      <formula1>"ECO,LUXE,INTERMEDIAIRE"</formula1>
    </dataValidation>
    <dataValidation type="list" allowBlank="1" showInputMessage="1" showErrorMessage="1" sqref="O2:P2" xr:uid="{2943CF82-9042-4B61-85F0-102D2003E289}">
      <formula1>"OUI,NON"</formula1>
    </dataValidation>
    <dataValidation type="list" allowBlank="1" showInputMessage="1" showErrorMessage="1" sqref="E2" xr:uid="{AFEF6BA8-44CE-4557-855E-1D0FCEC335FF}">
      <formula1>"TYPE L,NORMAL"</formula1>
    </dataValidation>
  </dataValidations>
  <pageMargins left="0.7" right="0.7" top="0.75" bottom="0.75" header="0.3" footer="0.3"/>
  <pageSetup orientation="portrait" horizontalDpi="300" verticalDpi="300" r:id="rId1"/>
  <rowBreaks count="1" manualBreakCount="1">
    <brk id="36" max="28" man="1"/>
  </rowBreaks>
  <colBreaks count="1" manualBreakCount="1">
    <brk id="22" max="218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CAEFC-E65C-4558-A0CC-F781F2DBE703}">
  <sheetPr codeName="Feuil2">
    <pageSetUpPr fitToPage="1"/>
  </sheetPr>
  <dimension ref="A1:J70"/>
  <sheetViews>
    <sheetView topLeftCell="A38" zoomScale="63" zoomScaleNormal="63" workbookViewId="0">
      <selection activeCell="F61" sqref="F61"/>
    </sheetView>
  </sheetViews>
  <sheetFormatPr baseColWidth="10" defaultRowHeight="15" x14ac:dyDescent="0.25"/>
  <cols>
    <col min="1" max="1" width="5.5703125" customWidth="1"/>
    <col min="2" max="2" width="47.7109375" customWidth="1"/>
    <col min="3" max="3" width="10.85546875" style="1" customWidth="1"/>
    <col min="4" max="4" width="13.85546875" style="1" customWidth="1"/>
    <col min="5" max="6" width="21.7109375" customWidth="1"/>
  </cols>
  <sheetData>
    <row r="1" spans="1:10" ht="15.75" thickBot="1" x14ac:dyDescent="0.3"/>
    <row r="2" spans="1:10" ht="15.75" x14ac:dyDescent="0.25">
      <c r="B2" s="36" t="s">
        <v>318</v>
      </c>
      <c r="C2" s="37"/>
    </row>
    <row r="3" spans="1:10" ht="15.75" x14ac:dyDescent="0.25">
      <c r="B3" s="38" t="s">
        <v>315</v>
      </c>
      <c r="C3" s="39"/>
    </row>
    <row r="4" spans="1:10" ht="15.75" x14ac:dyDescent="0.25">
      <c r="B4" s="38" t="s">
        <v>316</v>
      </c>
      <c r="C4" s="39"/>
    </row>
    <row r="5" spans="1:10" ht="16.5" thickBot="1" x14ac:dyDescent="0.3">
      <c r="B5" s="40" t="s">
        <v>317</v>
      </c>
      <c r="C5" s="41"/>
    </row>
    <row r="6" spans="1:10" ht="20.25" x14ac:dyDescent="0.25">
      <c r="B6" s="42" t="s">
        <v>17</v>
      </c>
      <c r="C6" s="37"/>
      <c r="E6" s="43" t="s">
        <v>272</v>
      </c>
      <c r="F6" s="44">
        <f ca="1">+TODAY()</f>
        <v>46065</v>
      </c>
      <c r="I6" s="45"/>
      <c r="J6" s="45"/>
    </row>
    <row r="7" spans="1:10" ht="15.75" x14ac:dyDescent="0.25">
      <c r="B7" s="38" t="s">
        <v>273</v>
      </c>
      <c r="C7" s="46">
        <v>2</v>
      </c>
      <c r="E7" s="38" t="s">
        <v>274</v>
      </c>
      <c r="F7" s="47"/>
      <c r="I7" s="45"/>
      <c r="J7" s="45"/>
    </row>
    <row r="8" spans="1:10" ht="15.75" x14ac:dyDescent="0.25">
      <c r="B8" s="38" t="s">
        <v>275</v>
      </c>
      <c r="C8" s="46">
        <v>4</v>
      </c>
      <c r="E8" s="38" t="s">
        <v>276</v>
      </c>
      <c r="F8" s="47"/>
    </row>
    <row r="9" spans="1:10" ht="16.5" thickBot="1" x14ac:dyDescent="0.3">
      <c r="B9" s="40" t="s">
        <v>277</v>
      </c>
      <c r="C9" s="48" t="s">
        <v>12</v>
      </c>
      <c r="E9" s="40" t="s">
        <v>314</v>
      </c>
      <c r="F9" s="49"/>
    </row>
    <row r="10" spans="1:10" ht="20.25" customHeight="1" x14ac:dyDescent="0.25"/>
    <row r="11" spans="1:10" ht="30.75" customHeight="1" x14ac:dyDescent="0.25">
      <c r="A11" s="50" t="s">
        <v>278</v>
      </c>
      <c r="B11" s="50" t="s">
        <v>22</v>
      </c>
      <c r="C11" s="50" t="s">
        <v>24</v>
      </c>
      <c r="D11" s="50" t="s">
        <v>29</v>
      </c>
      <c r="E11" s="50" t="s">
        <v>279</v>
      </c>
      <c r="F11" s="50" t="s">
        <v>280</v>
      </c>
    </row>
    <row r="12" spans="1:10" x14ac:dyDescent="0.25">
      <c r="A12" s="51" t="s">
        <v>79</v>
      </c>
      <c r="B12" s="52" t="s">
        <v>80</v>
      </c>
      <c r="C12" s="53" t="s">
        <v>61</v>
      </c>
      <c r="D12" s="53">
        <v>16</v>
      </c>
      <c r="E12" s="54">
        <v>13.5</v>
      </c>
      <c r="F12" s="54">
        <v>216</v>
      </c>
      <c r="G12" s="55"/>
    </row>
    <row r="13" spans="1:10" x14ac:dyDescent="0.25">
      <c r="A13" s="51" t="s">
        <v>81</v>
      </c>
      <c r="B13" s="52" t="s">
        <v>82</v>
      </c>
      <c r="C13" s="53" t="s">
        <v>61</v>
      </c>
      <c r="D13" s="53">
        <v>16</v>
      </c>
      <c r="E13" s="54">
        <v>15.5</v>
      </c>
      <c r="F13" s="54">
        <v>248</v>
      </c>
    </row>
    <row r="14" spans="1:10" x14ac:dyDescent="0.25">
      <c r="A14" s="51" t="s">
        <v>83</v>
      </c>
      <c r="B14" s="52" t="s">
        <v>84</v>
      </c>
      <c r="C14" s="53" t="s">
        <v>61</v>
      </c>
      <c r="D14" s="53">
        <v>16</v>
      </c>
      <c r="E14" s="54">
        <v>5.25</v>
      </c>
      <c r="F14" s="54">
        <v>84</v>
      </c>
    </row>
    <row r="15" spans="1:10" x14ac:dyDescent="0.25">
      <c r="A15" s="51" t="s">
        <v>85</v>
      </c>
      <c r="B15" s="52" t="s">
        <v>86</v>
      </c>
      <c r="C15" s="53" t="s">
        <v>61</v>
      </c>
      <c r="D15" s="53">
        <v>16</v>
      </c>
      <c r="E15" s="54">
        <v>7.25</v>
      </c>
      <c r="F15" s="54">
        <v>116</v>
      </c>
    </row>
    <row r="16" spans="1:10" x14ac:dyDescent="0.25">
      <c r="A16" s="51" t="s">
        <v>91</v>
      </c>
      <c r="B16" s="52" t="s">
        <v>92</v>
      </c>
      <c r="C16" s="53" t="s">
        <v>61</v>
      </c>
      <c r="D16" s="53">
        <v>32</v>
      </c>
      <c r="E16" s="54">
        <v>1.5</v>
      </c>
      <c r="F16" s="54">
        <v>48</v>
      </c>
    </row>
    <row r="17" spans="1:6" x14ac:dyDescent="0.25">
      <c r="A17" s="51" t="s">
        <v>93</v>
      </c>
      <c r="B17" s="52" t="s">
        <v>94</v>
      </c>
      <c r="C17" s="53" t="s">
        <v>61</v>
      </c>
      <c r="D17" s="53">
        <v>32</v>
      </c>
      <c r="E17" s="54">
        <v>3.2064994829109597</v>
      </c>
      <c r="F17" s="54">
        <v>102.60798345315071</v>
      </c>
    </row>
    <row r="18" spans="1:6" x14ac:dyDescent="0.25">
      <c r="A18" s="51" t="s">
        <v>95</v>
      </c>
      <c r="B18" s="52" t="s">
        <v>96</v>
      </c>
      <c r="C18" s="53" t="s">
        <v>61</v>
      </c>
      <c r="D18" s="53">
        <v>32</v>
      </c>
      <c r="E18" s="54">
        <v>3.4896522258160005</v>
      </c>
      <c r="F18" s="54">
        <v>111.66887122611202</v>
      </c>
    </row>
    <row r="19" spans="1:6" x14ac:dyDescent="0.25">
      <c r="A19" s="51" t="s">
        <v>97</v>
      </c>
      <c r="B19" s="52" t="s">
        <v>98</v>
      </c>
      <c r="C19" s="53" t="s">
        <v>61</v>
      </c>
      <c r="D19" s="53">
        <v>6</v>
      </c>
      <c r="E19" s="54">
        <v>5.8267910080859995</v>
      </c>
      <c r="F19" s="54">
        <v>34.960746048516</v>
      </c>
    </row>
    <row r="20" spans="1:6" x14ac:dyDescent="0.25">
      <c r="A20" s="51" t="s">
        <v>99</v>
      </c>
      <c r="B20" s="52" t="s">
        <v>100</v>
      </c>
      <c r="C20" s="53" t="s">
        <v>61</v>
      </c>
      <c r="D20" s="53">
        <v>50</v>
      </c>
      <c r="E20" s="93">
        <v>4.5</v>
      </c>
      <c r="F20" s="93">
        <v>225</v>
      </c>
    </row>
    <row r="21" spans="1:6" x14ac:dyDescent="0.25">
      <c r="A21" s="51" t="s">
        <v>101</v>
      </c>
      <c r="B21" s="52" t="s">
        <v>102</v>
      </c>
      <c r="C21" s="53" t="s">
        <v>61</v>
      </c>
      <c r="D21" s="53">
        <v>4</v>
      </c>
      <c r="E21" s="93">
        <v>310</v>
      </c>
      <c r="F21" s="93">
        <v>1240</v>
      </c>
    </row>
    <row r="22" spans="1:6" x14ac:dyDescent="0.25">
      <c r="A22" s="51" t="s">
        <v>103</v>
      </c>
      <c r="B22" s="52" t="s">
        <v>104</v>
      </c>
      <c r="C22" s="53" t="s">
        <v>61</v>
      </c>
      <c r="D22" s="53">
        <v>4</v>
      </c>
      <c r="E22" s="93">
        <v>660</v>
      </c>
      <c r="F22" s="93">
        <v>2640</v>
      </c>
    </row>
    <row r="23" spans="1:6" x14ac:dyDescent="0.25">
      <c r="A23" s="51" t="s">
        <v>109</v>
      </c>
      <c r="B23" s="52" t="s">
        <v>110</v>
      </c>
      <c r="C23" s="53" t="s">
        <v>111</v>
      </c>
      <c r="D23" s="53">
        <v>56</v>
      </c>
      <c r="E23" s="93">
        <v>17</v>
      </c>
      <c r="F23" s="93">
        <v>952</v>
      </c>
    </row>
    <row r="24" spans="1:6" x14ac:dyDescent="0.25">
      <c r="A24" s="51" t="s">
        <v>113</v>
      </c>
      <c r="B24" s="52" t="s">
        <v>114</v>
      </c>
      <c r="C24" s="53" t="s">
        <v>111</v>
      </c>
      <c r="D24" s="53">
        <v>15</v>
      </c>
      <c r="E24" s="93">
        <v>6.9</v>
      </c>
      <c r="F24" s="93">
        <v>103.5</v>
      </c>
    </row>
    <row r="25" spans="1:6" x14ac:dyDescent="0.25">
      <c r="A25" s="51" t="s">
        <v>115</v>
      </c>
      <c r="B25" s="52" t="s">
        <v>116</v>
      </c>
      <c r="C25" s="53" t="s">
        <v>61</v>
      </c>
      <c r="D25" s="53">
        <v>8</v>
      </c>
      <c r="E25" s="93">
        <v>77</v>
      </c>
      <c r="F25" s="93">
        <v>616</v>
      </c>
    </row>
    <row r="26" spans="1:6" x14ac:dyDescent="0.25">
      <c r="A26" s="51" t="s">
        <v>118</v>
      </c>
      <c r="B26" s="52" t="s">
        <v>119</v>
      </c>
      <c r="C26" s="53" t="s">
        <v>61</v>
      </c>
      <c r="D26" s="53">
        <v>24</v>
      </c>
      <c r="E26" s="93">
        <v>6.9</v>
      </c>
      <c r="F26" s="93">
        <v>165.60000000000002</v>
      </c>
    </row>
    <row r="27" spans="1:6" x14ac:dyDescent="0.25">
      <c r="A27" s="51" t="s">
        <v>121</v>
      </c>
      <c r="B27" s="52" t="s">
        <v>122</v>
      </c>
      <c r="C27" s="53" t="s">
        <v>61</v>
      </c>
      <c r="D27" s="53">
        <v>6</v>
      </c>
      <c r="E27" s="93">
        <v>4.2</v>
      </c>
      <c r="F27" s="93">
        <v>25.200000000000003</v>
      </c>
    </row>
    <row r="28" spans="1:6" x14ac:dyDescent="0.25">
      <c r="A28" s="51" t="s">
        <v>125</v>
      </c>
      <c r="B28" s="52" t="s">
        <v>126</v>
      </c>
      <c r="C28" s="53" t="s">
        <v>61</v>
      </c>
      <c r="D28" s="53">
        <v>4</v>
      </c>
      <c r="E28" s="93">
        <v>85.146909102837498</v>
      </c>
      <c r="F28" s="93">
        <v>340.58763641134999</v>
      </c>
    </row>
    <row r="29" spans="1:6" x14ac:dyDescent="0.25">
      <c r="A29" s="51" t="s">
        <v>127</v>
      </c>
      <c r="B29" s="52" t="s">
        <v>128</v>
      </c>
      <c r="C29" s="53" t="s">
        <v>61</v>
      </c>
      <c r="D29" s="53">
        <v>2</v>
      </c>
      <c r="E29" s="93">
        <v>137</v>
      </c>
      <c r="F29" s="93">
        <v>274</v>
      </c>
    </row>
    <row r="30" spans="1:6" x14ac:dyDescent="0.25">
      <c r="A30" s="51" t="s">
        <v>136</v>
      </c>
      <c r="B30" s="52" t="s">
        <v>379</v>
      </c>
      <c r="C30" s="53" t="s">
        <v>45</v>
      </c>
      <c r="D30" s="53">
        <v>1</v>
      </c>
      <c r="E30" s="54">
        <v>532.02835284059995</v>
      </c>
      <c r="F30" s="54">
        <v>532.02835284059995</v>
      </c>
    </row>
    <row r="31" spans="1:6" x14ac:dyDescent="0.25">
      <c r="A31" s="51" t="s">
        <v>137</v>
      </c>
      <c r="B31" s="52" t="s">
        <v>380</v>
      </c>
      <c r="C31" s="53" t="s">
        <v>111</v>
      </c>
      <c r="D31" s="53">
        <v>700</v>
      </c>
      <c r="E31" s="54">
        <v>0.95</v>
      </c>
      <c r="F31" s="54">
        <v>665</v>
      </c>
    </row>
    <row r="32" spans="1:6" x14ac:dyDescent="0.25">
      <c r="A32" s="51" t="s">
        <v>138</v>
      </c>
      <c r="B32" s="52" t="s">
        <v>139</v>
      </c>
      <c r="C32" s="53" t="s">
        <v>111</v>
      </c>
      <c r="D32" s="53">
        <v>300</v>
      </c>
      <c r="E32" s="54">
        <v>1.75</v>
      </c>
      <c r="F32" s="54">
        <v>525</v>
      </c>
    </row>
    <row r="33" spans="1:6" x14ac:dyDescent="0.25">
      <c r="A33" s="51" t="s">
        <v>140</v>
      </c>
      <c r="B33" s="52" t="s">
        <v>141</v>
      </c>
      <c r="C33" s="53" t="s">
        <v>111</v>
      </c>
      <c r="D33" s="53">
        <v>200</v>
      </c>
      <c r="E33" s="54">
        <v>2</v>
      </c>
      <c r="F33" s="54">
        <v>400</v>
      </c>
    </row>
    <row r="34" spans="1:6" x14ac:dyDescent="0.25">
      <c r="A34" s="51" t="s">
        <v>142</v>
      </c>
      <c r="B34" s="52" t="s">
        <v>381</v>
      </c>
      <c r="C34" s="53" t="s">
        <v>111</v>
      </c>
      <c r="D34" s="53">
        <v>100</v>
      </c>
      <c r="E34" s="54">
        <v>2.2999999999999998</v>
      </c>
      <c r="F34" s="54">
        <v>229.99999999999997</v>
      </c>
    </row>
    <row r="35" spans="1:6" x14ac:dyDescent="0.25">
      <c r="A35" s="51" t="s">
        <v>143</v>
      </c>
      <c r="B35" s="52" t="s">
        <v>144</v>
      </c>
      <c r="C35" s="53" t="s">
        <v>111</v>
      </c>
      <c r="D35" s="53">
        <v>21</v>
      </c>
      <c r="E35" s="54">
        <v>40.5</v>
      </c>
      <c r="F35" s="54">
        <v>850.5</v>
      </c>
    </row>
    <row r="36" spans="1:6" x14ac:dyDescent="0.25">
      <c r="A36" s="51" t="s">
        <v>145</v>
      </c>
      <c r="B36" s="52" t="s">
        <v>382</v>
      </c>
      <c r="C36" s="53" t="s">
        <v>111</v>
      </c>
      <c r="D36" s="53">
        <v>3</v>
      </c>
      <c r="E36" s="54">
        <v>37</v>
      </c>
      <c r="F36" s="54">
        <v>111</v>
      </c>
    </row>
    <row r="37" spans="1:6" x14ac:dyDescent="0.25">
      <c r="A37" s="51" t="s">
        <v>146</v>
      </c>
      <c r="B37" s="52" t="s">
        <v>147</v>
      </c>
      <c r="C37" s="53" t="s">
        <v>111</v>
      </c>
      <c r="D37" s="53">
        <v>21</v>
      </c>
      <c r="E37" s="54">
        <v>9</v>
      </c>
      <c r="F37" s="54">
        <v>189</v>
      </c>
    </row>
    <row r="38" spans="1:6" x14ac:dyDescent="0.25">
      <c r="A38" s="89" t="s">
        <v>148</v>
      </c>
      <c r="B38" s="92" t="s">
        <v>149</v>
      </c>
      <c r="C38" s="53" t="s">
        <v>111</v>
      </c>
      <c r="D38" s="53">
        <v>50</v>
      </c>
      <c r="E38" s="54">
        <v>2</v>
      </c>
      <c r="F38" s="54">
        <v>100</v>
      </c>
    </row>
    <row r="39" spans="1:6" x14ac:dyDescent="0.25">
      <c r="A39" s="51" t="s">
        <v>150</v>
      </c>
      <c r="B39" s="52" t="s">
        <v>151</v>
      </c>
      <c r="C39" s="53" t="s">
        <v>61</v>
      </c>
      <c r="D39" s="53">
        <v>1</v>
      </c>
      <c r="E39" s="56">
        <v>1600</v>
      </c>
      <c r="F39" s="56">
        <v>1600</v>
      </c>
    </row>
    <row r="40" spans="1:6" x14ac:dyDescent="0.25">
      <c r="A40" s="51" t="s">
        <v>154</v>
      </c>
      <c r="B40" s="52" t="s">
        <v>155</v>
      </c>
      <c r="C40" s="53" t="s">
        <v>61</v>
      </c>
      <c r="D40" s="53">
        <v>2</v>
      </c>
      <c r="E40" s="54">
        <v>127</v>
      </c>
      <c r="F40" s="54">
        <v>254</v>
      </c>
    </row>
    <row r="41" spans="1:6" x14ac:dyDescent="0.25">
      <c r="A41" s="51" t="s">
        <v>160</v>
      </c>
      <c r="B41" s="52" t="s">
        <v>161</v>
      </c>
      <c r="C41" s="53" t="s">
        <v>61</v>
      </c>
      <c r="D41" s="53">
        <v>3</v>
      </c>
      <c r="E41" s="54">
        <v>34</v>
      </c>
      <c r="F41" s="54">
        <v>102</v>
      </c>
    </row>
    <row r="42" spans="1:6" x14ac:dyDescent="0.25">
      <c r="A42" s="51" t="s">
        <v>164</v>
      </c>
      <c r="B42" s="52" t="s">
        <v>165</v>
      </c>
      <c r="C42" s="53" t="s">
        <v>61</v>
      </c>
      <c r="D42" s="53">
        <v>1</v>
      </c>
      <c r="E42" s="54">
        <v>65.304747783750003</v>
      </c>
      <c r="F42" s="54">
        <v>65.304747783750003</v>
      </c>
    </row>
    <row r="43" spans="1:6" x14ac:dyDescent="0.25">
      <c r="A43" s="51" t="s">
        <v>168</v>
      </c>
      <c r="B43" s="52" t="s">
        <v>169</v>
      </c>
      <c r="C43" s="53" t="s">
        <v>61</v>
      </c>
      <c r="D43" s="53">
        <v>1</v>
      </c>
      <c r="E43" s="54">
        <v>854.47576292859981</v>
      </c>
      <c r="F43" s="54">
        <v>854.47576292859981</v>
      </c>
    </row>
    <row r="44" spans="1:6" x14ac:dyDescent="0.25">
      <c r="A44" s="51" t="s">
        <v>174</v>
      </c>
      <c r="B44" s="52" t="s">
        <v>383</v>
      </c>
      <c r="C44" s="53" t="s">
        <v>61</v>
      </c>
      <c r="D44" s="53">
        <v>1</v>
      </c>
      <c r="E44" s="54">
        <v>1030</v>
      </c>
      <c r="F44" s="54">
        <v>1030</v>
      </c>
    </row>
    <row r="45" spans="1:6" x14ac:dyDescent="0.25">
      <c r="A45" s="51" t="s">
        <v>176</v>
      </c>
      <c r="B45" s="52" t="s">
        <v>177</v>
      </c>
      <c r="C45" s="53" t="s">
        <v>45</v>
      </c>
      <c r="D45" s="53">
        <v>1</v>
      </c>
      <c r="E45" s="54">
        <v>10078.383359375001</v>
      </c>
      <c r="F45" s="54">
        <v>10078.383359375001</v>
      </c>
    </row>
    <row r="46" spans="1:6" x14ac:dyDescent="0.25">
      <c r="A46" s="51" t="s">
        <v>184</v>
      </c>
      <c r="B46" s="52" t="s">
        <v>185</v>
      </c>
      <c r="C46" s="53" t="s">
        <v>61</v>
      </c>
      <c r="D46" s="53">
        <v>1</v>
      </c>
      <c r="E46" s="54">
        <v>1300</v>
      </c>
      <c r="F46" s="54">
        <v>1300</v>
      </c>
    </row>
    <row r="47" spans="1:6" x14ac:dyDescent="0.25">
      <c r="A47" s="51" t="s">
        <v>186</v>
      </c>
      <c r="B47" s="52" t="s">
        <v>187</v>
      </c>
      <c r="C47" s="53" t="s">
        <v>45</v>
      </c>
      <c r="D47" s="53">
        <v>1</v>
      </c>
      <c r="E47" s="54">
        <v>2700</v>
      </c>
      <c r="F47" s="54">
        <v>2700</v>
      </c>
    </row>
    <row r="48" spans="1:6" x14ac:dyDescent="0.25">
      <c r="A48" s="51" t="s">
        <v>197</v>
      </c>
      <c r="B48" s="52" t="s">
        <v>198</v>
      </c>
      <c r="C48" s="53" t="s">
        <v>61</v>
      </c>
      <c r="D48" s="53">
        <v>1</v>
      </c>
      <c r="E48" s="54">
        <v>64.487630326399994</v>
      </c>
      <c r="F48" s="54">
        <v>64.487630326399994</v>
      </c>
    </row>
    <row r="49" spans="1:6" x14ac:dyDescent="0.25">
      <c r="A49" s="51" t="s">
        <v>199</v>
      </c>
      <c r="B49" s="52" t="s">
        <v>200</v>
      </c>
      <c r="C49" s="53" t="s">
        <v>61</v>
      </c>
      <c r="D49" s="53">
        <v>20</v>
      </c>
      <c r="E49" s="54">
        <v>37</v>
      </c>
      <c r="F49" s="54">
        <v>740</v>
      </c>
    </row>
    <row r="50" spans="1:6" x14ac:dyDescent="0.25">
      <c r="A50" s="51" t="s">
        <v>218</v>
      </c>
      <c r="B50" s="52" t="s">
        <v>388</v>
      </c>
      <c r="C50" s="53" t="s">
        <v>61</v>
      </c>
      <c r="D50" s="53">
        <v>1</v>
      </c>
      <c r="E50" s="54">
        <v>13207.6105291494</v>
      </c>
      <c r="F50" s="54">
        <v>13207.6105291494</v>
      </c>
    </row>
    <row r="51" spans="1:6" x14ac:dyDescent="0.25">
      <c r="A51" s="51" t="s">
        <v>262</v>
      </c>
      <c r="B51" s="52" t="s">
        <v>263</v>
      </c>
      <c r="C51" s="53" t="s">
        <v>45</v>
      </c>
      <c r="D51" s="53">
        <v>1</v>
      </c>
      <c r="E51" s="54">
        <v>40</v>
      </c>
      <c r="F51" s="54">
        <v>40</v>
      </c>
    </row>
    <row r="52" spans="1:6" x14ac:dyDescent="0.25">
      <c r="A52" s="51" t="s">
        <v>270</v>
      </c>
      <c r="B52" s="52" t="s">
        <v>271</v>
      </c>
      <c r="C52" s="53" t="s">
        <v>61</v>
      </c>
      <c r="D52" s="53">
        <v>1</v>
      </c>
      <c r="E52" s="54">
        <v>403.05065337499997</v>
      </c>
      <c r="F52" s="54">
        <v>403.05065337499997</v>
      </c>
    </row>
    <row r="53" spans="1:6" x14ac:dyDescent="0.25">
      <c r="A53" s="51" t="s">
        <v>297</v>
      </c>
      <c r="B53" s="52" t="s">
        <v>408</v>
      </c>
      <c r="C53" s="53" t="s">
        <v>61</v>
      </c>
      <c r="D53" s="53">
        <v>2</v>
      </c>
      <c r="E53" s="54">
        <v>6144.6</v>
      </c>
      <c r="F53" s="54">
        <v>12289.2</v>
      </c>
    </row>
    <row r="54" spans="1:6" x14ac:dyDescent="0.25">
      <c r="A54" s="51" t="s">
        <v>298</v>
      </c>
      <c r="B54" s="52" t="s">
        <v>302</v>
      </c>
      <c r="C54" s="53" t="s">
        <v>61</v>
      </c>
      <c r="D54" s="53">
        <v>1</v>
      </c>
      <c r="E54" s="54">
        <v>9310</v>
      </c>
      <c r="F54" s="54">
        <v>9310</v>
      </c>
    </row>
    <row r="55" spans="1:6" x14ac:dyDescent="0.25">
      <c r="A55" s="52"/>
      <c r="B55" s="52"/>
      <c r="C55" s="53"/>
      <c r="D55" s="53"/>
      <c r="E55" s="54"/>
      <c r="F55" s="54"/>
    </row>
    <row r="56" spans="1:6" x14ac:dyDescent="0.25">
      <c r="A56" s="52"/>
      <c r="B56" s="52"/>
      <c r="C56" s="53"/>
      <c r="D56" s="53"/>
      <c r="E56" s="54"/>
      <c r="F56" s="54"/>
    </row>
    <row r="57" spans="1:6" x14ac:dyDescent="0.25">
      <c r="A57" s="52"/>
      <c r="B57" s="52"/>
      <c r="C57" s="53"/>
      <c r="D57" s="53"/>
      <c r="E57" s="54"/>
      <c r="F57" s="54"/>
    </row>
    <row r="58" spans="1:6" x14ac:dyDescent="0.25">
      <c r="A58" s="52"/>
      <c r="B58" s="52"/>
      <c r="C58" s="53"/>
      <c r="D58" s="53"/>
      <c r="E58" s="54"/>
      <c r="F58" s="54"/>
    </row>
    <row r="59" spans="1:6" x14ac:dyDescent="0.25">
      <c r="A59" s="52"/>
      <c r="B59" s="52"/>
      <c r="C59" s="53"/>
      <c r="D59" s="53"/>
      <c r="E59" s="54"/>
      <c r="F59" s="54"/>
    </row>
    <row r="60" spans="1:6" x14ac:dyDescent="0.25">
      <c r="A60" s="52"/>
      <c r="B60" s="52"/>
      <c r="C60" s="53"/>
      <c r="D60" s="53"/>
      <c r="E60" s="54"/>
      <c r="F60" s="54"/>
    </row>
    <row r="61" spans="1:6" ht="23.25" x14ac:dyDescent="0.25">
      <c r="A61" s="52"/>
      <c r="B61" s="110" t="s">
        <v>281</v>
      </c>
      <c r="C61" s="110"/>
      <c r="D61" s="110"/>
      <c r="E61" s="110"/>
      <c r="F61" s="57">
        <f>+SUM(F12:F60)</f>
        <v>65184.166272917879</v>
      </c>
    </row>
    <row r="62" spans="1:6" x14ac:dyDescent="0.25">
      <c r="B62" s="111" t="s">
        <v>282</v>
      </c>
      <c r="C62" s="111"/>
      <c r="D62" s="111"/>
      <c r="E62" s="111"/>
      <c r="F62" s="111"/>
    </row>
    <row r="68" spans="1:6" ht="15" customHeight="1" x14ac:dyDescent="0.25">
      <c r="A68" s="112" t="s">
        <v>283</v>
      </c>
      <c r="B68" s="112"/>
      <c r="C68" s="112"/>
      <c r="D68" s="112"/>
      <c r="E68" s="112"/>
      <c r="F68" s="112"/>
    </row>
    <row r="69" spans="1:6" x14ac:dyDescent="0.25">
      <c r="A69" s="113" t="s">
        <v>284</v>
      </c>
      <c r="B69" s="113"/>
      <c r="C69" s="113"/>
      <c r="D69" s="113"/>
      <c r="E69" s="113"/>
      <c r="F69" s="113"/>
    </row>
    <row r="70" spans="1:6" x14ac:dyDescent="0.25">
      <c r="A70" s="114" t="s">
        <v>285</v>
      </c>
      <c r="B70" s="114"/>
      <c r="C70" s="114"/>
      <c r="D70" s="114"/>
      <c r="E70" s="114"/>
      <c r="F70" s="114"/>
    </row>
  </sheetData>
  <mergeCells count="5">
    <mergeCell ref="B61:E61"/>
    <mergeCell ref="B62:F62"/>
    <mergeCell ref="A68:F68"/>
    <mergeCell ref="A69:F69"/>
    <mergeCell ref="A70:F70"/>
  </mergeCells>
  <phoneticPr fontId="15" type="noConversion"/>
  <hyperlinks>
    <hyperlink ref="A70" r:id="rId1" display="mailto:info@orderlift.net" xr:uid="{2D4C5E00-B3BD-4645-9192-072073547476}"/>
  </hyperlinks>
  <printOptions horizontalCentered="1" verticalCentered="1"/>
  <pageMargins left="0.23622047244094491" right="0.23622047244094491" top="0.15748031496062992" bottom="0.15748031496062992" header="0.31496062992125984" footer="0.31496062992125984"/>
  <pageSetup paperSize="9" scale="77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B8CF0-31DA-4687-B2B3-6C8EDEBC9DE6}">
  <sheetPr codeName="Feuil14">
    <pageSetUpPr fitToPage="1"/>
  </sheetPr>
  <dimension ref="A2:I71"/>
  <sheetViews>
    <sheetView zoomScale="70" zoomScaleNormal="70" workbookViewId="0">
      <selection activeCell="A5" sqref="A5"/>
    </sheetView>
  </sheetViews>
  <sheetFormatPr baseColWidth="10" defaultRowHeight="15" x14ac:dyDescent="0.25"/>
  <cols>
    <col min="1" max="1" width="12.42578125" customWidth="1"/>
    <col min="2" max="2" width="51.140625" customWidth="1"/>
    <col min="3" max="3" width="12.7109375" style="1" customWidth="1"/>
    <col min="4" max="4" width="28.85546875" style="1" customWidth="1"/>
    <col min="5" max="6" width="21.7109375" customWidth="1"/>
  </cols>
  <sheetData>
    <row r="2" spans="1:8" ht="15.75" x14ac:dyDescent="0.25">
      <c r="A2" s="58" t="s">
        <v>499</v>
      </c>
      <c r="B2" s="1"/>
    </row>
    <row r="3" spans="1:8" ht="15.75" x14ac:dyDescent="0.25">
      <c r="A3" s="58" t="s">
        <v>495</v>
      </c>
      <c r="B3" s="1"/>
    </row>
    <row r="4" spans="1:8" ht="15.75" x14ac:dyDescent="0.25">
      <c r="A4" s="58" t="s">
        <v>500</v>
      </c>
      <c r="B4" s="1"/>
    </row>
    <row r="5" spans="1:8" ht="16.5" thickBot="1" x14ac:dyDescent="0.3">
      <c r="A5" s="59" t="s">
        <v>496</v>
      </c>
      <c r="B5" s="60"/>
    </row>
    <row r="6" spans="1:8" ht="17.25" customHeight="1" x14ac:dyDescent="0.25">
      <c r="A6" s="81"/>
      <c r="B6" s="61" t="s">
        <v>17</v>
      </c>
      <c r="C6" s="83"/>
      <c r="D6" s="84" t="str">
        <f ca="1">+"Date : "&amp;DAY(TODAY())&amp;"/"&amp;MONTH(TODAY())&amp;"/"&amp;YEAR(TODAY())</f>
        <v>Date : 12/2/2026</v>
      </c>
      <c r="F6" t="s">
        <v>320</v>
      </c>
      <c r="G6" t="s">
        <v>45</v>
      </c>
      <c r="H6">
        <v>1</v>
      </c>
    </row>
    <row r="7" spans="1:8" ht="15.75" x14ac:dyDescent="0.25">
      <c r="A7" s="82"/>
      <c r="B7" s="87" t="s">
        <v>273</v>
      </c>
      <c r="C7" s="58">
        <v>3</v>
      </c>
      <c r="D7" s="85" t="s">
        <v>274</v>
      </c>
      <c r="F7" t="s">
        <v>321</v>
      </c>
      <c r="G7" t="s">
        <v>45</v>
      </c>
      <c r="H7">
        <v>1</v>
      </c>
    </row>
    <row r="8" spans="1:8" ht="15.75" x14ac:dyDescent="0.25">
      <c r="A8" s="82"/>
      <c r="B8" s="87" t="s">
        <v>275</v>
      </c>
      <c r="C8" s="58">
        <v>4</v>
      </c>
      <c r="D8" s="85" t="s">
        <v>276</v>
      </c>
      <c r="F8" t="s">
        <v>322</v>
      </c>
      <c r="G8" t="s">
        <v>45</v>
      </c>
      <c r="H8">
        <v>12</v>
      </c>
    </row>
    <row r="9" spans="1:8" ht="16.5" thickBot="1" x14ac:dyDescent="0.3">
      <c r="A9" s="82"/>
      <c r="B9" s="88" t="s">
        <v>277</v>
      </c>
      <c r="C9" s="59" t="s">
        <v>451</v>
      </c>
      <c r="D9" s="86" t="s">
        <v>323</v>
      </c>
    </row>
    <row r="10" spans="1:8" ht="20.25" customHeight="1" x14ac:dyDescent="0.25"/>
    <row r="11" spans="1:8" ht="30.75" customHeight="1" x14ac:dyDescent="0.25">
      <c r="A11" s="69" t="s">
        <v>278</v>
      </c>
      <c r="B11" s="69" t="s">
        <v>22</v>
      </c>
      <c r="C11" s="69" t="s">
        <v>24</v>
      </c>
      <c r="D11" s="69" t="s">
        <v>29</v>
      </c>
      <c r="E11" s="70" t="s">
        <v>279</v>
      </c>
      <c r="F11" s="70" t="s">
        <v>286</v>
      </c>
    </row>
    <row r="12" spans="1:8" x14ac:dyDescent="0.25">
      <c r="A12" s="71" t="s">
        <v>367</v>
      </c>
      <c r="B12" s="30" t="s">
        <v>399</v>
      </c>
      <c r="C12" s="72" t="s">
        <v>61</v>
      </c>
      <c r="D12" s="72">
        <v>1</v>
      </c>
      <c r="E12" s="94">
        <v>25033.468224</v>
      </c>
      <c r="F12" s="45">
        <v>25033.468224</v>
      </c>
    </row>
    <row r="13" spans="1:8" x14ac:dyDescent="0.25">
      <c r="A13" s="71" t="s">
        <v>55</v>
      </c>
      <c r="B13" s="30" t="s">
        <v>362</v>
      </c>
      <c r="C13" s="72" t="s">
        <v>45</v>
      </c>
      <c r="D13" s="72">
        <v>1</v>
      </c>
      <c r="E13" s="94">
        <v>11288.085745999997</v>
      </c>
      <c r="F13" s="45">
        <v>11288.085745999997</v>
      </c>
      <c r="G13">
        <f>500*1.7*9.8</f>
        <v>8330</v>
      </c>
    </row>
    <row r="14" spans="1:8" x14ac:dyDescent="0.25">
      <c r="A14" s="71" t="s">
        <v>73</v>
      </c>
      <c r="B14" s="30" t="s">
        <v>452</v>
      </c>
      <c r="C14" s="72" t="s">
        <v>61</v>
      </c>
      <c r="D14" s="72">
        <v>1</v>
      </c>
      <c r="E14" s="94">
        <v>16450.196174159999</v>
      </c>
      <c r="F14" s="45">
        <v>16450.196174159999</v>
      </c>
    </row>
    <row r="15" spans="1:8" x14ac:dyDescent="0.25">
      <c r="A15" s="71" t="s">
        <v>83</v>
      </c>
      <c r="B15" s="30" t="s">
        <v>84</v>
      </c>
      <c r="C15" s="72" t="s">
        <v>61</v>
      </c>
      <c r="D15" s="72">
        <v>24</v>
      </c>
      <c r="E15" s="94">
        <v>5.25</v>
      </c>
      <c r="F15" s="45">
        <v>126</v>
      </c>
    </row>
    <row r="16" spans="1:8" x14ac:dyDescent="0.25">
      <c r="A16" s="71" t="s">
        <v>85</v>
      </c>
      <c r="B16" s="30" t="s">
        <v>86</v>
      </c>
      <c r="C16" s="72" t="s">
        <v>61</v>
      </c>
      <c r="D16" s="72">
        <v>24</v>
      </c>
      <c r="E16" s="94">
        <v>7.5</v>
      </c>
      <c r="F16" s="45">
        <v>180</v>
      </c>
    </row>
    <row r="17" spans="1:6" x14ac:dyDescent="0.25">
      <c r="A17" s="71" t="s">
        <v>87</v>
      </c>
      <c r="B17" s="30" t="s">
        <v>443</v>
      </c>
      <c r="C17" s="72" t="s">
        <v>45</v>
      </c>
      <c r="D17" s="72">
        <v>6</v>
      </c>
      <c r="E17" s="94">
        <v>750</v>
      </c>
      <c r="F17" s="45">
        <v>4500</v>
      </c>
    </row>
    <row r="18" spans="1:6" x14ac:dyDescent="0.25">
      <c r="A18" s="71" t="s">
        <v>91</v>
      </c>
      <c r="B18" s="30" t="s">
        <v>92</v>
      </c>
      <c r="C18" s="72" t="s">
        <v>61</v>
      </c>
      <c r="D18" s="72">
        <v>40</v>
      </c>
      <c r="E18" s="45">
        <v>1.5</v>
      </c>
      <c r="F18" s="45">
        <v>60</v>
      </c>
    </row>
    <row r="19" spans="1:6" x14ac:dyDescent="0.25">
      <c r="A19" s="71" t="s">
        <v>95</v>
      </c>
      <c r="B19" s="30" t="s">
        <v>96</v>
      </c>
      <c r="C19" s="72" t="s">
        <v>61</v>
      </c>
      <c r="D19" s="72">
        <v>40</v>
      </c>
      <c r="E19" s="45">
        <v>3.4896522258160005</v>
      </c>
      <c r="F19" s="45">
        <v>139.58608903264002</v>
      </c>
    </row>
    <row r="20" spans="1:6" x14ac:dyDescent="0.25">
      <c r="A20" s="71" t="s">
        <v>97</v>
      </c>
      <c r="B20" s="30" t="s">
        <v>98</v>
      </c>
      <c r="C20" s="72" t="s">
        <v>61</v>
      </c>
      <c r="D20" s="72">
        <v>6</v>
      </c>
      <c r="E20" s="45">
        <v>5.8267910080859995</v>
      </c>
      <c r="F20" s="45">
        <v>34.960746048516</v>
      </c>
    </row>
    <row r="21" spans="1:6" x14ac:dyDescent="0.25">
      <c r="A21" s="71" t="s">
        <v>99</v>
      </c>
      <c r="B21" s="30" t="s">
        <v>100</v>
      </c>
      <c r="C21" s="72" t="s">
        <v>61</v>
      </c>
      <c r="D21" s="72">
        <v>35</v>
      </c>
      <c r="E21" s="45">
        <v>4.5</v>
      </c>
      <c r="F21" s="45">
        <v>157.5</v>
      </c>
    </row>
    <row r="22" spans="1:6" x14ac:dyDescent="0.25">
      <c r="A22" s="71" t="s">
        <v>101</v>
      </c>
      <c r="B22" s="30" t="s">
        <v>102</v>
      </c>
      <c r="C22" s="72" t="s">
        <v>61</v>
      </c>
      <c r="D22" s="72">
        <v>5</v>
      </c>
      <c r="E22" s="45">
        <v>310</v>
      </c>
      <c r="F22" s="45">
        <v>1550</v>
      </c>
    </row>
    <row r="23" spans="1:6" x14ac:dyDescent="0.25">
      <c r="A23" s="71" t="s">
        <v>103</v>
      </c>
      <c r="B23" s="30" t="s">
        <v>104</v>
      </c>
      <c r="C23" s="72" t="s">
        <v>61</v>
      </c>
      <c r="D23" s="72">
        <v>5</v>
      </c>
      <c r="E23" s="45">
        <v>660</v>
      </c>
      <c r="F23" s="45">
        <v>3300</v>
      </c>
    </row>
    <row r="24" spans="1:6" x14ac:dyDescent="0.25">
      <c r="A24" s="71" t="s">
        <v>112</v>
      </c>
      <c r="B24" s="30" t="s">
        <v>376</v>
      </c>
      <c r="C24" s="72" t="s">
        <v>111</v>
      </c>
      <c r="D24" s="72">
        <v>116</v>
      </c>
      <c r="E24" s="45">
        <v>17</v>
      </c>
      <c r="F24" s="45">
        <v>1972</v>
      </c>
    </row>
    <row r="25" spans="1:6" x14ac:dyDescent="0.25">
      <c r="A25" s="71" t="s">
        <v>113</v>
      </c>
      <c r="B25" s="30" t="s">
        <v>114</v>
      </c>
      <c r="C25" s="72" t="s">
        <v>111</v>
      </c>
      <c r="D25" s="72">
        <v>21</v>
      </c>
      <c r="E25" s="45">
        <v>6.9</v>
      </c>
      <c r="F25" s="45">
        <v>144.9</v>
      </c>
    </row>
    <row r="26" spans="1:6" x14ac:dyDescent="0.25">
      <c r="A26" s="71" t="s">
        <v>117</v>
      </c>
      <c r="B26" s="30" t="s">
        <v>377</v>
      </c>
      <c r="C26" s="72" t="s">
        <v>61</v>
      </c>
      <c r="D26" s="72">
        <v>8</v>
      </c>
      <c r="E26" s="45">
        <v>77</v>
      </c>
      <c r="F26" s="45">
        <v>616</v>
      </c>
    </row>
    <row r="27" spans="1:6" x14ac:dyDescent="0.25">
      <c r="A27" s="71" t="s">
        <v>120</v>
      </c>
      <c r="B27" s="30" t="s">
        <v>378</v>
      </c>
      <c r="C27" s="72" t="s">
        <v>61</v>
      </c>
      <c r="D27" s="72">
        <v>24</v>
      </c>
      <c r="E27" s="45">
        <v>4.2</v>
      </c>
      <c r="F27" s="45">
        <v>100.80000000000001</v>
      </c>
    </row>
    <row r="28" spans="1:6" x14ac:dyDescent="0.25">
      <c r="A28" s="71" t="s">
        <v>121</v>
      </c>
      <c r="B28" s="30" t="s">
        <v>122</v>
      </c>
      <c r="C28" s="72" t="s">
        <v>61</v>
      </c>
      <c r="D28" s="72">
        <v>6</v>
      </c>
      <c r="E28" s="45">
        <v>4.2</v>
      </c>
      <c r="F28" s="45">
        <v>25.200000000000003</v>
      </c>
    </row>
    <row r="29" spans="1:6" x14ac:dyDescent="0.25">
      <c r="A29" s="71" t="s">
        <v>125</v>
      </c>
      <c r="B29" s="30" t="s">
        <v>126</v>
      </c>
      <c r="C29" s="72" t="s">
        <v>61</v>
      </c>
      <c r="D29" s="72">
        <v>4</v>
      </c>
      <c r="E29" s="45">
        <v>85.146909102837498</v>
      </c>
      <c r="F29" s="45">
        <v>340.58763641134999</v>
      </c>
    </row>
    <row r="30" spans="1:6" x14ac:dyDescent="0.25">
      <c r="A30" s="71" t="s">
        <v>127</v>
      </c>
      <c r="B30" s="30" t="s">
        <v>128</v>
      </c>
      <c r="C30" s="72" t="s">
        <v>61</v>
      </c>
      <c r="D30" s="72">
        <v>2</v>
      </c>
      <c r="E30" s="45">
        <v>137</v>
      </c>
      <c r="F30" s="45">
        <v>274</v>
      </c>
    </row>
    <row r="31" spans="1:6" x14ac:dyDescent="0.25">
      <c r="A31" s="71" t="s">
        <v>136</v>
      </c>
      <c r="B31" s="30" t="s">
        <v>379</v>
      </c>
      <c r="C31" s="72" t="s">
        <v>45</v>
      </c>
      <c r="D31" s="72">
        <v>1</v>
      </c>
      <c r="E31" s="45">
        <v>532.02835284059995</v>
      </c>
      <c r="F31" s="45">
        <v>532.02835284059995</v>
      </c>
    </row>
    <row r="32" spans="1:6" x14ac:dyDescent="0.25">
      <c r="A32" s="71" t="s">
        <v>137</v>
      </c>
      <c r="B32" s="30" t="s">
        <v>380</v>
      </c>
      <c r="C32" s="72" t="s">
        <v>111</v>
      </c>
      <c r="D32" s="72">
        <v>700</v>
      </c>
      <c r="E32" s="45">
        <v>0.95</v>
      </c>
      <c r="F32" s="45">
        <v>665</v>
      </c>
    </row>
    <row r="33" spans="1:9" x14ac:dyDescent="0.25">
      <c r="A33" s="71" t="s">
        <v>138</v>
      </c>
      <c r="B33" s="30" t="s">
        <v>139</v>
      </c>
      <c r="C33" s="72" t="s">
        <v>111</v>
      </c>
      <c r="D33" s="72">
        <v>300</v>
      </c>
      <c r="E33" s="45">
        <v>1.75</v>
      </c>
      <c r="F33" s="45">
        <v>525</v>
      </c>
    </row>
    <row r="34" spans="1:9" x14ac:dyDescent="0.25">
      <c r="A34" s="71" t="s">
        <v>140</v>
      </c>
      <c r="B34" s="30" t="s">
        <v>141</v>
      </c>
      <c r="C34" s="72" t="s">
        <v>111</v>
      </c>
      <c r="D34" s="72">
        <v>200</v>
      </c>
      <c r="E34" s="45">
        <v>2</v>
      </c>
      <c r="F34" s="45">
        <v>400</v>
      </c>
    </row>
    <row r="35" spans="1:9" x14ac:dyDescent="0.25">
      <c r="A35" s="71" t="s">
        <v>142</v>
      </c>
      <c r="B35" s="30" t="s">
        <v>381</v>
      </c>
      <c r="C35" s="72" t="s">
        <v>111</v>
      </c>
      <c r="D35" s="72">
        <v>100</v>
      </c>
      <c r="E35" s="45">
        <v>2.2999999999999998</v>
      </c>
      <c r="F35" s="45">
        <v>229.99999999999997</v>
      </c>
    </row>
    <row r="36" spans="1:9" x14ac:dyDescent="0.25">
      <c r="A36" s="71" t="s">
        <v>143</v>
      </c>
      <c r="B36" s="30" t="s">
        <v>144</v>
      </c>
      <c r="C36" s="72" t="s">
        <v>111</v>
      </c>
      <c r="D36" s="72">
        <v>24</v>
      </c>
      <c r="E36" s="45">
        <v>40.5</v>
      </c>
      <c r="F36" s="45">
        <v>972</v>
      </c>
    </row>
    <row r="37" spans="1:9" x14ac:dyDescent="0.25">
      <c r="A37" s="71" t="s">
        <v>145</v>
      </c>
      <c r="B37" s="30" t="s">
        <v>382</v>
      </c>
      <c r="C37" s="72" t="s">
        <v>111</v>
      </c>
      <c r="D37" s="72">
        <v>3</v>
      </c>
      <c r="E37" s="45">
        <v>37</v>
      </c>
      <c r="F37" s="45">
        <v>111</v>
      </c>
    </row>
    <row r="38" spans="1:9" x14ac:dyDescent="0.25">
      <c r="A38" s="71" t="s">
        <v>146</v>
      </c>
      <c r="B38" s="30" t="s">
        <v>147</v>
      </c>
      <c r="C38" s="72" t="s">
        <v>111</v>
      </c>
      <c r="D38" s="72">
        <v>24</v>
      </c>
      <c r="E38" s="45">
        <v>9</v>
      </c>
      <c r="F38" s="45">
        <v>216</v>
      </c>
    </row>
    <row r="39" spans="1:9" x14ac:dyDescent="0.25">
      <c r="A39" s="71" t="s">
        <v>148</v>
      </c>
      <c r="B39" s="30" t="s">
        <v>149</v>
      </c>
      <c r="C39" s="72" t="s">
        <v>111</v>
      </c>
      <c r="D39" s="72">
        <v>50</v>
      </c>
      <c r="E39" s="73">
        <v>2</v>
      </c>
      <c r="F39" s="45">
        <v>100</v>
      </c>
    </row>
    <row r="40" spans="1:9" x14ac:dyDescent="0.25">
      <c r="A40" s="71" t="s">
        <v>150</v>
      </c>
      <c r="B40" s="30" t="s">
        <v>151</v>
      </c>
      <c r="C40" s="72" t="s">
        <v>61</v>
      </c>
      <c r="D40" s="72">
        <v>1</v>
      </c>
      <c r="E40" s="45">
        <v>1800</v>
      </c>
      <c r="F40" s="45">
        <v>1800</v>
      </c>
    </row>
    <row r="41" spans="1:9" x14ac:dyDescent="0.25">
      <c r="A41" s="71" t="s">
        <v>154</v>
      </c>
      <c r="B41" s="30" t="s">
        <v>155</v>
      </c>
      <c r="C41" s="72" t="s">
        <v>61</v>
      </c>
      <c r="D41" s="72">
        <v>3</v>
      </c>
      <c r="E41" s="45">
        <v>127</v>
      </c>
      <c r="F41" s="45">
        <v>381</v>
      </c>
    </row>
    <row r="42" spans="1:9" x14ac:dyDescent="0.25">
      <c r="A42" s="71" t="s">
        <v>160</v>
      </c>
      <c r="B42" s="30" t="s">
        <v>161</v>
      </c>
      <c r="C42" s="72" t="s">
        <v>61</v>
      </c>
      <c r="D42" s="72">
        <v>3</v>
      </c>
      <c r="E42" s="45">
        <v>34</v>
      </c>
      <c r="F42" s="45">
        <v>102</v>
      </c>
    </row>
    <row r="43" spans="1:9" x14ac:dyDescent="0.25">
      <c r="A43" s="71" t="s">
        <v>164</v>
      </c>
      <c r="B43" s="30" t="s">
        <v>165</v>
      </c>
      <c r="C43" s="72" t="s">
        <v>61</v>
      </c>
      <c r="D43" s="72">
        <v>1</v>
      </c>
      <c r="E43" s="45">
        <v>65.304747783750003</v>
      </c>
      <c r="F43" s="45">
        <v>65.304747783750003</v>
      </c>
    </row>
    <row r="44" spans="1:9" x14ac:dyDescent="0.25">
      <c r="A44" s="71" t="s">
        <v>168</v>
      </c>
      <c r="B44" s="30" t="s">
        <v>169</v>
      </c>
      <c r="C44" s="72" t="s">
        <v>61</v>
      </c>
      <c r="D44" s="72">
        <v>1</v>
      </c>
      <c r="E44" s="45">
        <v>854.47576292859981</v>
      </c>
      <c r="F44" s="45">
        <v>854.47576292859981</v>
      </c>
    </row>
    <row r="45" spans="1:9" x14ac:dyDescent="0.25">
      <c r="A45" s="71" t="s">
        <v>174</v>
      </c>
      <c r="B45" s="30" t="s">
        <v>383</v>
      </c>
      <c r="C45" s="72" t="s">
        <v>61</v>
      </c>
      <c r="D45" s="72">
        <v>1</v>
      </c>
      <c r="E45" s="45">
        <v>1030</v>
      </c>
      <c r="F45" s="45">
        <v>1030</v>
      </c>
      <c r="H45">
        <f>7750+450*3</f>
        <v>9100</v>
      </c>
    </row>
    <row r="46" spans="1:9" x14ac:dyDescent="0.25">
      <c r="A46" s="71" t="s">
        <v>184</v>
      </c>
      <c r="B46" s="30" t="s">
        <v>185</v>
      </c>
      <c r="C46" s="72" t="s">
        <v>61</v>
      </c>
      <c r="D46" s="72">
        <v>1</v>
      </c>
      <c r="E46" s="45">
        <v>1300</v>
      </c>
      <c r="F46" s="45">
        <v>1300</v>
      </c>
      <c r="H46">
        <v>8700</v>
      </c>
    </row>
    <row r="47" spans="1:9" x14ac:dyDescent="0.25">
      <c r="A47" s="71" t="s">
        <v>188</v>
      </c>
      <c r="B47" s="30" t="s">
        <v>305</v>
      </c>
      <c r="C47" s="72" t="s">
        <v>45</v>
      </c>
      <c r="D47" s="72">
        <v>1</v>
      </c>
      <c r="E47" s="45">
        <v>4030.8240875000001</v>
      </c>
      <c r="F47" s="45">
        <v>4030.8240875000001</v>
      </c>
      <c r="H47">
        <f>+H46*1.65*1.3*9.8</f>
        <v>182882.7</v>
      </c>
      <c r="I47">
        <f>+H46*1.65*9.8</f>
        <v>140679</v>
      </c>
    </row>
    <row r="48" spans="1:9" x14ac:dyDescent="0.25">
      <c r="A48" s="71" t="s">
        <v>189</v>
      </c>
      <c r="B48" s="30" t="s">
        <v>190</v>
      </c>
      <c r="C48" s="72" t="s">
        <v>45</v>
      </c>
      <c r="D48" s="72">
        <v>1</v>
      </c>
      <c r="E48" s="45">
        <v>11771.984483659999</v>
      </c>
      <c r="F48" s="45">
        <v>11771.984483659999</v>
      </c>
      <c r="H48">
        <f>+H47+25000</f>
        <v>207882.7</v>
      </c>
    </row>
    <row r="49" spans="1:9" x14ac:dyDescent="0.25">
      <c r="A49" s="71" t="s">
        <v>197</v>
      </c>
      <c r="B49" s="30" t="s">
        <v>198</v>
      </c>
      <c r="C49" s="72" t="s">
        <v>61</v>
      </c>
      <c r="D49" s="72">
        <v>1</v>
      </c>
      <c r="E49" s="45">
        <v>64.487630326399994</v>
      </c>
      <c r="F49" s="45">
        <v>64.487630326399994</v>
      </c>
    </row>
    <row r="50" spans="1:9" x14ac:dyDescent="0.25">
      <c r="A50" s="71" t="s">
        <v>199</v>
      </c>
      <c r="B50" s="30" t="s">
        <v>200</v>
      </c>
      <c r="C50" s="72" t="s">
        <v>61</v>
      </c>
      <c r="D50" s="72">
        <v>20</v>
      </c>
      <c r="E50" s="45">
        <v>37</v>
      </c>
      <c r="F50" s="45">
        <v>740</v>
      </c>
      <c r="H50" s="95"/>
    </row>
    <row r="51" spans="1:9" x14ac:dyDescent="0.25">
      <c r="A51" s="71" t="s">
        <v>262</v>
      </c>
      <c r="B51" s="30" t="s">
        <v>263</v>
      </c>
      <c r="C51" s="72" t="s">
        <v>45</v>
      </c>
      <c r="D51" s="72">
        <v>1</v>
      </c>
      <c r="E51" s="45">
        <v>40</v>
      </c>
      <c r="F51" s="45">
        <v>40</v>
      </c>
      <c r="H51">
        <f>+H47*0.3</f>
        <v>54864.810000000005</v>
      </c>
      <c r="I51">
        <f>+H47-I47</f>
        <v>42203.700000000012</v>
      </c>
    </row>
    <row r="52" spans="1:9" x14ac:dyDescent="0.25">
      <c r="A52" s="71" t="s">
        <v>270</v>
      </c>
      <c r="B52" s="30" t="s">
        <v>271</v>
      </c>
      <c r="C52" s="72" t="s">
        <v>61</v>
      </c>
      <c r="D52" s="72">
        <v>1</v>
      </c>
      <c r="E52" s="45">
        <v>403.05065337499997</v>
      </c>
      <c r="F52" s="45">
        <v>403.05065337499997</v>
      </c>
      <c r="H52">
        <f>+H51*20%</f>
        <v>10972.962000000001</v>
      </c>
      <c r="I52">
        <f>+I51*20%</f>
        <v>8440.7400000000034</v>
      </c>
    </row>
    <row r="53" spans="1:9" x14ac:dyDescent="0.25">
      <c r="A53" s="71" t="s">
        <v>297</v>
      </c>
      <c r="B53" s="30" t="s">
        <v>408</v>
      </c>
      <c r="C53" s="72" t="s">
        <v>61</v>
      </c>
      <c r="D53" s="72">
        <v>3</v>
      </c>
      <c r="E53" s="45">
        <v>6144.6</v>
      </c>
      <c r="F53" s="45">
        <v>18433.800000000003</v>
      </c>
    </row>
    <row r="54" spans="1:9" x14ac:dyDescent="0.25">
      <c r="A54" s="71" t="s">
        <v>298</v>
      </c>
      <c r="B54" s="30" t="s">
        <v>302</v>
      </c>
      <c r="C54" s="72" t="s">
        <v>61</v>
      </c>
      <c r="D54" s="72">
        <v>1</v>
      </c>
      <c r="E54" s="45">
        <v>9310</v>
      </c>
      <c r="F54" s="45">
        <v>9310</v>
      </c>
    </row>
    <row r="55" spans="1:9" x14ac:dyDescent="0.25">
      <c r="A55" s="72"/>
      <c r="B55" s="30"/>
      <c r="C55" s="72"/>
      <c r="D55" s="72"/>
      <c r="E55" s="18"/>
      <c r="F55" s="18"/>
    </row>
    <row r="56" spans="1:9" x14ac:dyDescent="0.25">
      <c r="A56" s="72"/>
      <c r="B56" s="30"/>
      <c r="C56" s="72"/>
      <c r="D56" s="72"/>
      <c r="E56" s="74"/>
      <c r="F56" s="45"/>
    </row>
    <row r="57" spans="1:9" x14ac:dyDescent="0.25">
      <c r="A57" s="72"/>
      <c r="B57" s="30"/>
      <c r="C57" s="72"/>
      <c r="D57" s="72"/>
      <c r="E57" s="45"/>
      <c r="F57" s="45"/>
    </row>
    <row r="58" spans="1:9" x14ac:dyDescent="0.25">
      <c r="A58" s="72"/>
      <c r="B58" s="30"/>
      <c r="C58" s="72"/>
      <c r="D58" s="72"/>
      <c r="E58" s="45"/>
      <c r="F58" s="45"/>
    </row>
    <row r="59" spans="1:9" x14ac:dyDescent="0.25">
      <c r="A59" s="72"/>
      <c r="B59" s="30"/>
      <c r="C59" s="72"/>
      <c r="D59" s="72"/>
      <c r="E59" s="45"/>
      <c r="F59" s="45"/>
    </row>
    <row r="60" spans="1:9" x14ac:dyDescent="0.25">
      <c r="A60" s="72"/>
      <c r="B60" s="30"/>
      <c r="C60" s="72"/>
      <c r="D60" s="72"/>
      <c r="E60" s="45"/>
      <c r="F60" s="45"/>
    </row>
    <row r="61" spans="1:9" ht="8.25" customHeight="1" thickBot="1" x14ac:dyDescent="0.3"/>
    <row r="62" spans="1:9" ht="23.25" customHeight="1" thickBot="1" x14ac:dyDescent="0.3">
      <c r="A62" s="115" t="s">
        <v>281</v>
      </c>
      <c r="B62" s="116"/>
      <c r="C62" s="117">
        <f>+SUM(F12:F60)*1.13</f>
        <v>136019.50157749554</v>
      </c>
      <c r="D62" s="118"/>
      <c r="E62" s="75"/>
      <c r="F62" s="55"/>
    </row>
    <row r="63" spans="1:9" ht="15" customHeight="1" x14ac:dyDescent="0.25">
      <c r="A63" s="119" t="s">
        <v>282</v>
      </c>
      <c r="B63" s="119"/>
      <c r="C63" s="119"/>
      <c r="D63" s="119"/>
      <c r="E63" s="76"/>
      <c r="F63" s="77"/>
    </row>
    <row r="64" spans="1:9" x14ac:dyDescent="0.25">
      <c r="B64" s="76"/>
      <c r="C64" s="76"/>
      <c r="D64" s="76"/>
      <c r="E64" s="76"/>
      <c r="F64" s="76"/>
    </row>
    <row r="69" spans="1:6" ht="15" customHeight="1" x14ac:dyDescent="0.25">
      <c r="A69" s="112" t="s">
        <v>283</v>
      </c>
      <c r="B69" s="112"/>
      <c r="C69" s="112"/>
      <c r="D69" s="112"/>
      <c r="E69" s="78"/>
      <c r="F69" s="78"/>
    </row>
    <row r="70" spans="1:6" x14ac:dyDescent="0.25">
      <c r="A70" s="113" t="s">
        <v>284</v>
      </c>
      <c r="B70" s="113"/>
      <c r="C70" s="113"/>
      <c r="D70" s="113"/>
      <c r="E70" s="79"/>
      <c r="F70" s="79"/>
    </row>
    <row r="71" spans="1:6" x14ac:dyDescent="0.25">
      <c r="A71" s="114" t="s">
        <v>285</v>
      </c>
      <c r="B71" s="114"/>
      <c r="C71" s="114"/>
      <c r="D71" s="114"/>
      <c r="E71" s="80"/>
      <c r="F71" s="80"/>
    </row>
  </sheetData>
  <mergeCells count="6">
    <mergeCell ref="A71:D71"/>
    <mergeCell ref="A62:B62"/>
    <mergeCell ref="C62:D62"/>
    <mergeCell ref="A63:D63"/>
    <mergeCell ref="A69:D69"/>
    <mergeCell ref="A70:D70"/>
  </mergeCells>
  <phoneticPr fontId="15" type="noConversion"/>
  <hyperlinks>
    <hyperlink ref="A71" r:id="rId1" display="mailto:info@orderlift.net" xr:uid="{D4FF3B97-A905-4EBD-8F82-500EE389BFAB}"/>
  </hyperlinks>
  <printOptions horizontalCentered="1" verticalCentered="1"/>
  <pageMargins left="0.23622047244094491" right="0.23622047244094491" top="0.15748031496062992" bottom="0.15748031496062992" header="0.31496062992125984" footer="0.31496062992125984"/>
  <pageSetup paperSize="9" scale="54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97BC29-A259-4C3E-8AF3-BE9D4D75A5D6}">
  <sheetPr codeName="Feuil7">
    <pageSetUpPr fitToPage="1"/>
  </sheetPr>
  <dimension ref="A2:J72"/>
  <sheetViews>
    <sheetView topLeftCell="A41" zoomScale="88" zoomScaleNormal="98" workbookViewId="0">
      <selection activeCell="D48" sqref="D48"/>
    </sheetView>
  </sheetViews>
  <sheetFormatPr baseColWidth="10" defaultRowHeight="15" x14ac:dyDescent="0.25"/>
  <cols>
    <col min="1" max="1" width="12.42578125" customWidth="1"/>
    <col min="2" max="2" width="57.85546875" customWidth="1"/>
    <col min="3" max="3" width="10.85546875" style="1" customWidth="1"/>
    <col min="4" max="4" width="26.28515625" style="1" customWidth="1"/>
    <col min="5" max="6" width="21.7109375" customWidth="1"/>
  </cols>
  <sheetData>
    <row r="2" spans="1:8" ht="15.75" x14ac:dyDescent="0.25">
      <c r="A2" s="58" t="s">
        <v>488</v>
      </c>
      <c r="B2" s="1"/>
    </row>
    <row r="3" spans="1:8" ht="15.75" x14ac:dyDescent="0.25">
      <c r="A3" s="58" t="s">
        <v>512</v>
      </c>
      <c r="B3" s="1"/>
    </row>
    <row r="4" spans="1:8" ht="15.75" x14ac:dyDescent="0.25">
      <c r="A4" s="58" t="s">
        <v>487</v>
      </c>
      <c r="B4" s="1"/>
    </row>
    <row r="5" spans="1:8" ht="16.5" thickBot="1" x14ac:dyDescent="0.3">
      <c r="A5" s="59" t="s">
        <v>406</v>
      </c>
      <c r="B5" s="60"/>
    </row>
    <row r="6" spans="1:8" ht="17.25" customHeight="1" x14ac:dyDescent="0.25">
      <c r="A6" s="120" t="s">
        <v>489</v>
      </c>
      <c r="B6" s="121"/>
      <c r="C6" s="62" t="s">
        <v>272</v>
      </c>
      <c r="D6" s="44">
        <f ca="1">+TODAY()</f>
        <v>46065</v>
      </c>
    </row>
    <row r="7" spans="1:8" ht="15.75" x14ac:dyDescent="0.25">
      <c r="A7" s="63" t="s">
        <v>273</v>
      </c>
      <c r="B7" s="64">
        <v>4</v>
      </c>
      <c r="C7" s="65" t="s">
        <v>274</v>
      </c>
      <c r="D7" s="47"/>
    </row>
    <row r="8" spans="1:8" ht="15.75" x14ac:dyDescent="0.25">
      <c r="A8" s="63" t="s">
        <v>275</v>
      </c>
      <c r="B8" s="64">
        <v>4</v>
      </c>
      <c r="C8" s="65" t="s">
        <v>276</v>
      </c>
      <c r="D8" s="99" t="s">
        <v>407</v>
      </c>
    </row>
    <row r="9" spans="1:8" ht="16.5" thickBot="1" x14ac:dyDescent="0.3">
      <c r="A9" s="66" t="s">
        <v>277</v>
      </c>
      <c r="B9" s="67" t="s">
        <v>12</v>
      </c>
      <c r="C9" s="68"/>
      <c r="D9" s="49"/>
    </row>
    <row r="10" spans="1:8" ht="20.25" customHeight="1" x14ac:dyDescent="0.25"/>
    <row r="11" spans="1:8" ht="30.75" customHeight="1" x14ac:dyDescent="0.25">
      <c r="A11" s="69" t="s">
        <v>278</v>
      </c>
      <c r="B11" s="69" t="s">
        <v>22</v>
      </c>
      <c r="C11" s="69" t="s">
        <v>24</v>
      </c>
      <c r="D11" s="69" t="s">
        <v>29</v>
      </c>
      <c r="E11" s="70" t="s">
        <v>279</v>
      </c>
      <c r="F11" s="70" t="s">
        <v>286</v>
      </c>
    </row>
    <row r="12" spans="1:8" x14ac:dyDescent="0.25">
      <c r="A12" s="71" t="s">
        <v>46</v>
      </c>
      <c r="B12" s="30" t="s">
        <v>357</v>
      </c>
      <c r="C12" s="72" t="s">
        <v>61</v>
      </c>
      <c r="D12" s="72">
        <v>1</v>
      </c>
      <c r="E12" s="45">
        <v>15829.098223499997</v>
      </c>
      <c r="F12" s="45">
        <v>15829.098223499997</v>
      </c>
      <c r="H12">
        <f>11150*1.5*9.8</f>
        <v>163905</v>
      </c>
    </row>
    <row r="13" spans="1:8" x14ac:dyDescent="0.25">
      <c r="A13" s="71" t="s">
        <v>54</v>
      </c>
      <c r="B13" s="30" t="s">
        <v>361</v>
      </c>
      <c r="C13" s="72" t="s">
        <v>45</v>
      </c>
      <c r="D13" s="72">
        <v>1</v>
      </c>
      <c r="E13" s="45">
        <v>7255.9914435000001</v>
      </c>
      <c r="F13" s="45">
        <v>7255.9914435000001</v>
      </c>
    </row>
    <row r="14" spans="1:8" x14ac:dyDescent="0.25">
      <c r="A14" s="71" t="s">
        <v>62</v>
      </c>
      <c r="B14" s="30" t="s">
        <v>301</v>
      </c>
      <c r="C14" s="72" t="s">
        <v>61</v>
      </c>
      <c r="D14" s="72">
        <v>4</v>
      </c>
      <c r="E14" s="45">
        <v>3005.3522476586891</v>
      </c>
      <c r="F14" s="45">
        <v>12021.408990634756</v>
      </c>
    </row>
    <row r="15" spans="1:8" x14ac:dyDescent="0.25">
      <c r="A15" s="71" t="s">
        <v>63</v>
      </c>
      <c r="B15" s="30" t="s">
        <v>409</v>
      </c>
      <c r="C15" s="72" t="s">
        <v>61</v>
      </c>
      <c r="D15" s="72">
        <v>1</v>
      </c>
      <c r="E15" s="45">
        <v>6950</v>
      </c>
      <c r="F15" s="45">
        <v>6950</v>
      </c>
    </row>
    <row r="16" spans="1:8" x14ac:dyDescent="0.25">
      <c r="A16" s="71" t="s">
        <v>79</v>
      </c>
      <c r="B16" s="30" t="s">
        <v>80</v>
      </c>
      <c r="C16" s="72" t="s">
        <v>61</v>
      </c>
      <c r="D16" s="72">
        <v>28</v>
      </c>
      <c r="E16" s="45">
        <v>13.5</v>
      </c>
      <c r="F16" s="45">
        <v>378</v>
      </c>
    </row>
    <row r="17" spans="1:10" x14ac:dyDescent="0.25">
      <c r="A17" s="71" t="s">
        <v>81</v>
      </c>
      <c r="B17" s="30" t="s">
        <v>82</v>
      </c>
      <c r="C17" s="72" t="s">
        <v>61</v>
      </c>
      <c r="D17" s="72">
        <v>28</v>
      </c>
      <c r="E17" s="45">
        <v>15.5</v>
      </c>
      <c r="F17" s="45">
        <v>434</v>
      </c>
    </row>
    <row r="18" spans="1:10" x14ac:dyDescent="0.25">
      <c r="A18" s="71" t="s">
        <v>83</v>
      </c>
      <c r="B18" s="30" t="s">
        <v>84</v>
      </c>
      <c r="C18" s="72" t="s">
        <v>61</v>
      </c>
      <c r="D18" s="72">
        <v>28</v>
      </c>
      <c r="E18" s="45">
        <v>5.25</v>
      </c>
      <c r="F18" s="45">
        <v>147</v>
      </c>
    </row>
    <row r="19" spans="1:10" x14ac:dyDescent="0.25">
      <c r="A19" s="71" t="s">
        <v>85</v>
      </c>
      <c r="B19" s="30" t="s">
        <v>86</v>
      </c>
      <c r="C19" s="72" t="s">
        <v>61</v>
      </c>
      <c r="D19" s="72">
        <v>28</v>
      </c>
      <c r="E19" s="45">
        <v>7.5</v>
      </c>
      <c r="F19" s="45">
        <v>210</v>
      </c>
    </row>
    <row r="20" spans="1:10" x14ac:dyDescent="0.25">
      <c r="A20" s="71" t="s">
        <v>91</v>
      </c>
      <c r="B20" s="30" t="s">
        <v>92</v>
      </c>
      <c r="C20" s="72" t="s">
        <v>61</v>
      </c>
      <c r="D20" s="72">
        <v>56</v>
      </c>
      <c r="E20" s="45">
        <v>1.5</v>
      </c>
      <c r="F20" s="45">
        <v>84</v>
      </c>
    </row>
    <row r="21" spans="1:10" x14ac:dyDescent="0.25">
      <c r="A21" s="71" t="s">
        <v>93</v>
      </c>
      <c r="B21" s="30" t="s">
        <v>94</v>
      </c>
      <c r="C21" s="72" t="s">
        <v>61</v>
      </c>
      <c r="D21" s="72">
        <v>56</v>
      </c>
      <c r="E21" s="45">
        <v>3.2064994829109597</v>
      </c>
      <c r="F21" s="45">
        <v>179.56397104301374</v>
      </c>
    </row>
    <row r="22" spans="1:10" x14ac:dyDescent="0.25">
      <c r="A22" s="71" t="s">
        <v>95</v>
      </c>
      <c r="B22" s="30" t="s">
        <v>96</v>
      </c>
      <c r="C22" s="72" t="s">
        <v>61</v>
      </c>
      <c r="D22" s="72">
        <v>56</v>
      </c>
      <c r="E22" s="45">
        <v>3.4896522258160005</v>
      </c>
      <c r="F22" s="45">
        <v>195.42052464569602</v>
      </c>
    </row>
    <row r="23" spans="1:10" x14ac:dyDescent="0.25">
      <c r="A23" s="71" t="s">
        <v>97</v>
      </c>
      <c r="B23" s="30" t="s">
        <v>98</v>
      </c>
      <c r="C23" s="72" t="s">
        <v>61</v>
      </c>
      <c r="D23" s="72">
        <v>6</v>
      </c>
      <c r="E23" s="45">
        <v>5.8267910080859995</v>
      </c>
      <c r="F23" s="45">
        <v>34.960746048516</v>
      </c>
    </row>
    <row r="24" spans="1:10" x14ac:dyDescent="0.25">
      <c r="A24" s="71" t="s">
        <v>99</v>
      </c>
      <c r="B24" s="30" t="s">
        <v>100</v>
      </c>
      <c r="C24" s="72" t="s">
        <v>61</v>
      </c>
      <c r="D24" s="72">
        <v>84</v>
      </c>
      <c r="E24" s="45">
        <v>4.5</v>
      </c>
      <c r="F24" s="45">
        <v>378</v>
      </c>
    </row>
    <row r="25" spans="1:10" x14ac:dyDescent="0.25">
      <c r="A25" s="71" t="s">
        <v>101</v>
      </c>
      <c r="B25" s="30" t="s">
        <v>102</v>
      </c>
      <c r="C25" s="72" t="s">
        <v>61</v>
      </c>
      <c r="D25" s="72">
        <v>7</v>
      </c>
      <c r="E25" s="45">
        <v>310</v>
      </c>
      <c r="F25" s="45">
        <v>2170</v>
      </c>
    </row>
    <row r="26" spans="1:10" x14ac:dyDescent="0.25">
      <c r="A26" s="71" t="s">
        <v>103</v>
      </c>
      <c r="B26" s="30" t="s">
        <v>104</v>
      </c>
      <c r="C26" s="72" t="s">
        <v>61</v>
      </c>
      <c r="D26" s="72">
        <v>7</v>
      </c>
      <c r="E26" s="45">
        <v>660</v>
      </c>
      <c r="F26" s="45">
        <v>4620</v>
      </c>
      <c r="J26">
        <f>11500*1.65*9.8</f>
        <v>185955</v>
      </c>
    </row>
    <row r="27" spans="1:10" x14ac:dyDescent="0.25">
      <c r="A27" s="71" t="s">
        <v>109</v>
      </c>
      <c r="B27" s="30" t="s">
        <v>110</v>
      </c>
      <c r="C27" s="72" t="s">
        <v>111</v>
      </c>
      <c r="D27" s="72">
        <v>80</v>
      </c>
      <c r="E27" s="45">
        <v>17</v>
      </c>
      <c r="F27" s="45">
        <v>1360</v>
      </c>
    </row>
    <row r="28" spans="1:10" x14ac:dyDescent="0.25">
      <c r="A28" s="71" t="s">
        <v>113</v>
      </c>
      <c r="B28" s="30" t="s">
        <v>114</v>
      </c>
      <c r="C28" s="72" t="s">
        <v>111</v>
      </c>
      <c r="D28" s="72">
        <v>27</v>
      </c>
      <c r="E28" s="45">
        <v>6.9</v>
      </c>
      <c r="F28" s="45">
        <v>186.3</v>
      </c>
      <c r="J28">
        <f>+(J26+30000)*1.13</f>
        <v>244029.14999999997</v>
      </c>
    </row>
    <row r="29" spans="1:10" x14ac:dyDescent="0.25">
      <c r="A29" s="71" t="s">
        <v>115</v>
      </c>
      <c r="B29" s="30" t="s">
        <v>116</v>
      </c>
      <c r="C29" s="72" t="s">
        <v>61</v>
      </c>
      <c r="D29" s="72">
        <v>8</v>
      </c>
      <c r="E29" s="45">
        <v>77</v>
      </c>
      <c r="F29" s="45">
        <v>616</v>
      </c>
    </row>
    <row r="30" spans="1:10" x14ac:dyDescent="0.25">
      <c r="A30" s="71" t="s">
        <v>118</v>
      </c>
      <c r="B30" s="30" t="s">
        <v>119</v>
      </c>
      <c r="C30" s="72" t="s">
        <v>61</v>
      </c>
      <c r="D30" s="72">
        <v>24</v>
      </c>
      <c r="E30" s="45">
        <v>6.9</v>
      </c>
      <c r="F30" s="45">
        <v>165.60000000000002</v>
      </c>
    </row>
    <row r="31" spans="1:10" x14ac:dyDescent="0.25">
      <c r="A31" s="71" t="s">
        <v>121</v>
      </c>
      <c r="B31" s="98" t="s">
        <v>122</v>
      </c>
      <c r="C31" s="72" t="s">
        <v>61</v>
      </c>
      <c r="D31" s="72">
        <v>6</v>
      </c>
      <c r="E31" s="45">
        <v>4.2</v>
      </c>
      <c r="F31" s="45">
        <v>25.200000000000003</v>
      </c>
    </row>
    <row r="32" spans="1:10" x14ac:dyDescent="0.25">
      <c r="A32" s="71" t="s">
        <v>125</v>
      </c>
      <c r="B32" s="30" t="s">
        <v>126</v>
      </c>
      <c r="C32" s="72" t="s">
        <v>61</v>
      </c>
      <c r="D32" s="72">
        <v>4</v>
      </c>
      <c r="E32" s="45">
        <v>85.146909102837498</v>
      </c>
      <c r="F32" s="45">
        <v>340.58763641134999</v>
      </c>
    </row>
    <row r="33" spans="1:7" x14ac:dyDescent="0.25">
      <c r="A33" s="71" t="s">
        <v>127</v>
      </c>
      <c r="B33" s="30" t="s">
        <v>128</v>
      </c>
      <c r="C33" s="72" t="s">
        <v>61</v>
      </c>
      <c r="D33" s="72">
        <v>2</v>
      </c>
      <c r="E33" s="45">
        <v>137</v>
      </c>
      <c r="F33" s="45">
        <v>274</v>
      </c>
    </row>
    <row r="34" spans="1:7" x14ac:dyDescent="0.25">
      <c r="A34" s="71" t="s">
        <v>136</v>
      </c>
      <c r="B34" s="30" t="s">
        <v>379</v>
      </c>
      <c r="C34" s="72" t="s">
        <v>45</v>
      </c>
      <c r="D34" s="72">
        <v>1</v>
      </c>
      <c r="E34" s="45">
        <v>532.02835284059995</v>
      </c>
      <c r="F34" s="45">
        <v>532.02835284059995</v>
      </c>
    </row>
    <row r="35" spans="1:7" x14ac:dyDescent="0.25">
      <c r="A35" s="71" t="s">
        <v>137</v>
      </c>
      <c r="B35" s="30" t="s">
        <v>380</v>
      </c>
      <c r="C35" s="72" t="s">
        <v>111</v>
      </c>
      <c r="D35" s="72">
        <v>700</v>
      </c>
      <c r="E35" s="45">
        <v>0.95</v>
      </c>
      <c r="F35" s="45">
        <v>665</v>
      </c>
    </row>
    <row r="36" spans="1:7" x14ac:dyDescent="0.25">
      <c r="A36" s="71" t="s">
        <v>138</v>
      </c>
      <c r="B36" s="30" t="s">
        <v>139</v>
      </c>
      <c r="C36" s="72" t="s">
        <v>111</v>
      </c>
      <c r="D36" s="72">
        <v>300</v>
      </c>
      <c r="E36" s="45">
        <v>1.75</v>
      </c>
      <c r="F36" s="45">
        <v>525</v>
      </c>
    </row>
    <row r="37" spans="1:7" x14ac:dyDescent="0.25">
      <c r="A37" s="71" t="s">
        <v>140</v>
      </c>
      <c r="B37" s="98" t="s">
        <v>141</v>
      </c>
      <c r="C37" s="72" t="s">
        <v>111</v>
      </c>
      <c r="D37" s="72">
        <v>200</v>
      </c>
      <c r="E37" s="45">
        <v>2</v>
      </c>
      <c r="F37" s="45">
        <v>400</v>
      </c>
      <c r="G37">
        <f>+F37/1.65</f>
        <v>242.42424242424244</v>
      </c>
    </row>
    <row r="38" spans="1:7" x14ac:dyDescent="0.25">
      <c r="A38" s="71" t="s">
        <v>142</v>
      </c>
      <c r="B38" s="98" t="s">
        <v>381</v>
      </c>
      <c r="C38" s="72" t="s">
        <v>111</v>
      </c>
      <c r="D38" s="72">
        <v>100</v>
      </c>
      <c r="E38" s="45">
        <v>2.2999999999999998</v>
      </c>
      <c r="F38" s="45">
        <v>229.99999999999997</v>
      </c>
      <c r="G38">
        <f>+F38/1.65</f>
        <v>139.39393939393938</v>
      </c>
    </row>
    <row r="39" spans="1:7" x14ac:dyDescent="0.25">
      <c r="A39" s="71" t="s">
        <v>143</v>
      </c>
      <c r="B39" s="30" t="s">
        <v>144</v>
      </c>
      <c r="C39" s="72" t="s">
        <v>111</v>
      </c>
      <c r="D39" s="72">
        <v>27</v>
      </c>
      <c r="E39" s="73">
        <v>40.5</v>
      </c>
      <c r="F39" s="45">
        <v>1093.5</v>
      </c>
    </row>
    <row r="40" spans="1:7" x14ac:dyDescent="0.25">
      <c r="A40" s="71" t="s">
        <v>145</v>
      </c>
      <c r="B40" s="30" t="s">
        <v>382</v>
      </c>
      <c r="C40" s="72" t="s">
        <v>111</v>
      </c>
      <c r="D40" s="72">
        <v>3</v>
      </c>
      <c r="E40" s="45">
        <v>37</v>
      </c>
      <c r="F40" s="45">
        <v>111</v>
      </c>
    </row>
    <row r="41" spans="1:7" x14ac:dyDescent="0.25">
      <c r="A41" s="71" t="s">
        <v>146</v>
      </c>
      <c r="B41" s="30" t="s">
        <v>147</v>
      </c>
      <c r="C41" s="72" t="s">
        <v>111</v>
      </c>
      <c r="D41" s="72">
        <v>27</v>
      </c>
      <c r="E41" s="45">
        <v>9</v>
      </c>
      <c r="F41" s="45">
        <v>243</v>
      </c>
    </row>
    <row r="42" spans="1:7" x14ac:dyDescent="0.25">
      <c r="A42" s="71" t="s">
        <v>148</v>
      </c>
      <c r="B42" s="30" t="s">
        <v>149</v>
      </c>
      <c r="C42" s="72" t="s">
        <v>111</v>
      </c>
      <c r="D42" s="72">
        <v>50</v>
      </c>
      <c r="E42" s="45">
        <v>2</v>
      </c>
      <c r="F42" s="45">
        <v>100</v>
      </c>
    </row>
    <row r="43" spans="1:7" x14ac:dyDescent="0.25">
      <c r="A43" s="71" t="s">
        <v>150</v>
      </c>
      <c r="B43" s="30" t="s">
        <v>151</v>
      </c>
      <c r="C43" s="72" t="s">
        <v>61</v>
      </c>
      <c r="D43" s="72">
        <v>1</v>
      </c>
      <c r="E43" s="45">
        <v>1800</v>
      </c>
      <c r="F43" s="45">
        <v>1800</v>
      </c>
    </row>
    <row r="44" spans="1:7" x14ac:dyDescent="0.25">
      <c r="A44" s="71" t="s">
        <v>154</v>
      </c>
      <c r="B44" s="30" t="s">
        <v>155</v>
      </c>
      <c r="C44" s="72" t="s">
        <v>61</v>
      </c>
      <c r="D44" s="72">
        <v>4</v>
      </c>
      <c r="E44" s="45">
        <v>127</v>
      </c>
      <c r="F44" s="45">
        <v>508</v>
      </c>
    </row>
    <row r="45" spans="1:7" x14ac:dyDescent="0.25">
      <c r="A45" s="71" t="s">
        <v>160</v>
      </c>
      <c r="B45" s="30" t="s">
        <v>161</v>
      </c>
      <c r="C45" s="72" t="s">
        <v>61</v>
      </c>
      <c r="D45" s="72">
        <v>3</v>
      </c>
      <c r="E45" s="45">
        <v>34</v>
      </c>
      <c r="F45" s="45">
        <v>102</v>
      </c>
    </row>
    <row r="46" spans="1:7" x14ac:dyDescent="0.25">
      <c r="A46" s="71" t="s">
        <v>164</v>
      </c>
      <c r="B46" s="30" t="s">
        <v>165</v>
      </c>
      <c r="C46" s="72" t="s">
        <v>61</v>
      </c>
      <c r="D46" s="72">
        <v>1</v>
      </c>
      <c r="E46" s="45">
        <v>65.304747783750003</v>
      </c>
      <c r="F46" s="45">
        <v>65.304747783750003</v>
      </c>
    </row>
    <row r="47" spans="1:7" x14ac:dyDescent="0.25">
      <c r="A47" s="71" t="s">
        <v>168</v>
      </c>
      <c r="B47" s="30" t="s">
        <v>169</v>
      </c>
      <c r="C47" s="72" t="s">
        <v>61</v>
      </c>
      <c r="D47" s="72">
        <v>1</v>
      </c>
      <c r="E47" s="45">
        <v>854.47576292859981</v>
      </c>
      <c r="F47" s="45">
        <v>854.47576292859981</v>
      </c>
    </row>
    <row r="48" spans="1:7" x14ac:dyDescent="0.25">
      <c r="A48" s="71" t="s">
        <v>174</v>
      </c>
      <c r="B48" s="30" t="s">
        <v>383</v>
      </c>
      <c r="C48" s="72" t="s">
        <v>61</v>
      </c>
      <c r="D48" s="72">
        <v>1</v>
      </c>
      <c r="E48" s="45">
        <v>1030</v>
      </c>
      <c r="F48" s="45">
        <v>1030</v>
      </c>
    </row>
    <row r="49" spans="1:8" x14ac:dyDescent="0.25">
      <c r="A49" s="71" t="s">
        <v>176</v>
      </c>
      <c r="B49" s="30" t="s">
        <v>177</v>
      </c>
      <c r="C49" s="72" t="s">
        <v>45</v>
      </c>
      <c r="D49" s="72">
        <v>1</v>
      </c>
      <c r="E49" s="45">
        <v>10078.383359375001</v>
      </c>
      <c r="F49" s="45">
        <v>10078.383359375001</v>
      </c>
    </row>
    <row r="50" spans="1:8" x14ac:dyDescent="0.25">
      <c r="A50" s="71" t="s">
        <v>184</v>
      </c>
      <c r="B50" s="30" t="s">
        <v>185</v>
      </c>
      <c r="C50" s="72" t="s">
        <v>61</v>
      </c>
      <c r="D50" s="72">
        <v>1</v>
      </c>
      <c r="E50" s="45">
        <v>1300</v>
      </c>
      <c r="F50" s="45">
        <v>1300</v>
      </c>
    </row>
    <row r="51" spans="1:8" x14ac:dyDescent="0.25">
      <c r="A51" s="71" t="s">
        <v>186</v>
      </c>
      <c r="B51" s="30" t="s">
        <v>187</v>
      </c>
      <c r="C51" s="72" t="s">
        <v>45</v>
      </c>
      <c r="D51" s="72">
        <v>1</v>
      </c>
      <c r="E51" s="45">
        <v>2700</v>
      </c>
      <c r="F51" s="45">
        <v>2700</v>
      </c>
    </row>
    <row r="52" spans="1:8" x14ac:dyDescent="0.25">
      <c r="A52" s="71" t="s">
        <v>197</v>
      </c>
      <c r="B52" s="30" t="s">
        <v>198</v>
      </c>
      <c r="C52" s="72" t="s">
        <v>61</v>
      </c>
      <c r="D52" s="72">
        <v>1</v>
      </c>
      <c r="E52" s="45">
        <v>64.487630326399994</v>
      </c>
      <c r="F52" s="45">
        <v>64.487630326399994</v>
      </c>
    </row>
    <row r="53" spans="1:8" x14ac:dyDescent="0.25">
      <c r="A53" s="71" t="s">
        <v>199</v>
      </c>
      <c r="B53" s="30" t="s">
        <v>200</v>
      </c>
      <c r="C53" s="72" t="s">
        <v>61</v>
      </c>
      <c r="D53" s="72">
        <v>20</v>
      </c>
      <c r="E53" s="45">
        <v>37</v>
      </c>
      <c r="F53" s="45">
        <v>740</v>
      </c>
    </row>
    <row r="54" spans="1:8" x14ac:dyDescent="0.25">
      <c r="A54" s="71" t="s">
        <v>218</v>
      </c>
      <c r="B54" s="30" t="s">
        <v>388</v>
      </c>
      <c r="C54" s="72" t="s">
        <v>61</v>
      </c>
      <c r="D54" s="72">
        <v>1</v>
      </c>
      <c r="E54" s="45">
        <v>13207.6105291494</v>
      </c>
      <c r="F54" s="45">
        <v>13207.6105291494</v>
      </c>
    </row>
    <row r="55" spans="1:8" x14ac:dyDescent="0.25">
      <c r="A55" s="72" t="s">
        <v>262</v>
      </c>
      <c r="B55" s="30" t="s">
        <v>263</v>
      </c>
      <c r="C55" s="72" t="s">
        <v>45</v>
      </c>
      <c r="D55" s="72">
        <v>1</v>
      </c>
      <c r="E55">
        <v>40</v>
      </c>
      <c r="F55" s="45">
        <v>40</v>
      </c>
      <c r="H55" t="s">
        <v>486</v>
      </c>
    </row>
    <row r="56" spans="1:8" x14ac:dyDescent="0.25">
      <c r="A56" s="72" t="s">
        <v>270</v>
      </c>
      <c r="B56" s="30" t="s">
        <v>271</v>
      </c>
      <c r="C56" s="72" t="s">
        <v>61</v>
      </c>
      <c r="D56" s="72">
        <v>1</v>
      </c>
      <c r="E56">
        <v>403.05065337499997</v>
      </c>
      <c r="F56" s="45">
        <v>403.05065337499997</v>
      </c>
    </row>
    <row r="57" spans="1:8" x14ac:dyDescent="0.25">
      <c r="A57" s="72"/>
      <c r="B57" s="30"/>
      <c r="C57" s="72"/>
      <c r="D57" s="72"/>
    </row>
    <row r="58" spans="1:8" x14ac:dyDescent="0.25">
      <c r="A58" s="72"/>
      <c r="B58" s="30"/>
      <c r="C58" s="72"/>
      <c r="D58" s="72"/>
    </row>
    <row r="59" spans="1:8" x14ac:dyDescent="0.25">
      <c r="A59" s="72"/>
      <c r="B59" s="30"/>
      <c r="C59" s="72"/>
      <c r="D59" s="72"/>
    </row>
    <row r="60" spans="1:8" x14ac:dyDescent="0.25">
      <c r="A60" s="72"/>
      <c r="B60" s="30"/>
      <c r="C60" s="72"/>
      <c r="D60" s="72"/>
      <c r="E60" s="45"/>
      <c r="F60" s="45"/>
    </row>
    <row r="61" spans="1:8" x14ac:dyDescent="0.25">
      <c r="A61" s="72" t="s">
        <v>485</v>
      </c>
      <c r="B61" s="30" t="s">
        <v>509</v>
      </c>
      <c r="C61" s="72" t="s">
        <v>287</v>
      </c>
      <c r="D61" s="72">
        <v>1</v>
      </c>
      <c r="E61" s="45"/>
      <c r="F61" s="45">
        <v>30000</v>
      </c>
    </row>
    <row r="62" spans="1:8" ht="8.25" customHeight="1" thickBot="1" x14ac:dyDescent="0.3"/>
    <row r="63" spans="1:8" ht="23.25" customHeight="1" thickBot="1" x14ac:dyDescent="0.3">
      <c r="A63" s="115" t="s">
        <v>281</v>
      </c>
      <c r="B63" s="116"/>
      <c r="C63" s="117">
        <f>+SUM(F12:F61)*E63</f>
        <v>136332.20900586515</v>
      </c>
      <c r="D63" s="118"/>
      <c r="E63" s="75">
        <f>+IF(Pricelist!F4="ECO",1.23,IF(Pricelist!F4="LUXE",1.35,1.13))</f>
        <v>1.1299999999999999</v>
      </c>
      <c r="F63" s="55"/>
    </row>
    <row r="64" spans="1:8" ht="15" customHeight="1" x14ac:dyDescent="0.25">
      <c r="B64" s="122" t="s">
        <v>324</v>
      </c>
      <c r="C64" s="122"/>
      <c r="D64" s="122"/>
      <c r="E64" s="76"/>
      <c r="F64" s="96"/>
    </row>
    <row r="65" spans="1:6" x14ac:dyDescent="0.25">
      <c r="B65" s="122"/>
      <c r="C65" s="122"/>
      <c r="D65" s="122"/>
      <c r="E65" s="76"/>
      <c r="F65" s="76"/>
    </row>
    <row r="70" spans="1:6" ht="15" customHeight="1" x14ac:dyDescent="0.25">
      <c r="A70" s="112" t="s">
        <v>283</v>
      </c>
      <c r="B70" s="112"/>
      <c r="C70" s="112"/>
      <c r="D70" s="112"/>
      <c r="E70" s="78"/>
      <c r="F70" s="78"/>
    </row>
    <row r="71" spans="1:6" x14ac:dyDescent="0.25">
      <c r="A71" s="113" t="s">
        <v>284</v>
      </c>
      <c r="B71" s="113"/>
      <c r="C71" s="113"/>
      <c r="D71" s="113"/>
      <c r="E71" s="79"/>
      <c r="F71" s="79"/>
    </row>
    <row r="72" spans="1:6" x14ac:dyDescent="0.25">
      <c r="A72" s="114" t="s">
        <v>285</v>
      </c>
      <c r="B72" s="114"/>
      <c r="C72" s="114"/>
      <c r="D72" s="114"/>
      <c r="E72" s="80"/>
      <c r="F72" s="80"/>
    </row>
  </sheetData>
  <mergeCells count="7">
    <mergeCell ref="A72:D72"/>
    <mergeCell ref="A6:B6"/>
    <mergeCell ref="A63:B63"/>
    <mergeCell ref="C63:D63"/>
    <mergeCell ref="B64:D65"/>
    <mergeCell ref="A70:D70"/>
    <mergeCell ref="A71:D71"/>
  </mergeCells>
  <phoneticPr fontId="15" type="noConversion"/>
  <hyperlinks>
    <hyperlink ref="A72" r:id="rId1" display="mailto:info@orderlift.net" xr:uid="{DE4DB109-A865-4BDC-A74D-80D54760CD19}"/>
    <hyperlink ref="D8" r:id="rId2" xr:uid="{B7E6FC73-6953-47BB-9AD4-307E744D60A1}"/>
  </hyperlinks>
  <printOptions horizontalCentered="1" verticalCentered="1"/>
  <pageMargins left="0.23622047244094491" right="0.23622047244094491" top="0.15748031496062992" bottom="0.15748031496062992" header="0.31496062992125984" footer="0.31496062992125984"/>
  <pageSetup paperSize="9" scale="75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4</vt:i4>
      </vt:variant>
    </vt:vector>
  </HeadingPairs>
  <TitlesOfParts>
    <vt:vector size="8" baseType="lpstr">
      <vt:lpstr>Pricelist</vt:lpstr>
      <vt:lpstr>Devis _ B2B avec détails </vt:lpstr>
      <vt:lpstr>Devis _ B2B sans détails </vt:lpstr>
      <vt:lpstr>Devis _ B2C Promo-particulier</vt:lpstr>
      <vt:lpstr>'Devis _ B2B avec détails '!Zone_d_impression</vt:lpstr>
      <vt:lpstr>'Devis _ B2B sans détails '!Zone_d_impression</vt:lpstr>
      <vt:lpstr>'Devis _ B2C Promo-particulier'!Zone_d_impression</vt:lpstr>
      <vt:lpstr>Pricelist!Zone_d_impression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Taha ELOUARYACHI</dc:creator>
  <cp:lastModifiedBy>Taha ELOUARYACHI</cp:lastModifiedBy>
  <cp:lastPrinted>2026-01-27T21:23:15Z</cp:lastPrinted>
  <dcterms:created xsi:type="dcterms:W3CDTF">2025-12-25T10:37:05Z</dcterms:created>
  <dcterms:modified xsi:type="dcterms:W3CDTF">2026-02-12T12:36:24Z</dcterms:modified>
</cp:coreProperties>
</file>